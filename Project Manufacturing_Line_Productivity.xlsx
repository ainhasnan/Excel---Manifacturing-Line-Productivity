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customXml/itemProps1.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49a96783bcd498cf/Data Analyst/Portfolio Project/"/>
    </mc:Choice>
  </mc:AlternateContent>
  <xr:revisionPtr revIDLastSave="49" documentId="13_ncr:1_{900E8E31-C126-424C-84D0-3FE55FB9EE63}" xr6:coauthVersionLast="47" xr6:coauthVersionMax="47" xr10:uidLastSave="{DCD430B0-2FC3-4202-993A-1CD77D92A747}"/>
  <bookViews>
    <workbookView xWindow="-108" yWindow="-108" windowWidth="23256" windowHeight="12456" tabRatio="848" xr2:uid="{8FF62ED8-A67E-423F-8325-F23DB684777C}"/>
  </bookViews>
  <sheets>
    <sheet name="Overview" sheetId="28" r:id="rId1"/>
    <sheet name="DASHBOARD" sheetId="27" r:id="rId2"/>
    <sheet name="Operator Error_PV" sheetId="18" r:id="rId3"/>
    <sheet name="Operator Product PV" sheetId="23" r:id="rId4"/>
    <sheet name="Efficiency PV" sheetId="26" r:id="rId5"/>
    <sheet name="Downtime Error_PV" sheetId="21" state="hidden" r:id="rId6"/>
    <sheet name="Line productivity data" sheetId="17" r:id="rId7"/>
    <sheet name="Line downtime Data" sheetId="12" r:id="rId8"/>
    <sheet name="Downtime factors " sheetId="13" r:id="rId9"/>
    <sheet name="Products (2)" sheetId="11" state="hidden" r:id="rId10"/>
    <sheet name="Line productivity" sheetId="1" state="hidden" r:id="rId11"/>
    <sheet name="Line downtime" sheetId="2" state="hidden" r:id="rId12"/>
    <sheet name="Downtime factors" sheetId="3" state="hidden" r:id="rId13"/>
    <sheet name="Products" sheetId="8" state="hidden" r:id="rId14"/>
  </sheets>
  <definedNames>
    <definedName name="_xlnm._FilterDatabase" localSheetId="12" hidden="1">'Downtime factors'!$A$1:$C$13</definedName>
    <definedName name="_xlnm._FilterDatabase" localSheetId="10" hidden="1">'Line productivity'!$A$1:$F$39</definedName>
    <definedName name="ExternalData_2" localSheetId="8" hidden="1">'Downtime factors '!$A$1:$C$13</definedName>
    <definedName name="ExternalData_2" localSheetId="7" hidden="1">'Line downtime Data'!$A$1:$F$62</definedName>
    <definedName name="ExternalData_2" localSheetId="9" hidden="1">'Products (2)'!$A$1:$D$7</definedName>
    <definedName name="ExternalData_3" localSheetId="6" hidden="1">'Line productivity data'!$A$1:$I$39</definedName>
    <definedName name="Slicer_Operator">#N/A</definedName>
    <definedName name="Slicer_Operator_Error">#N/A</definedName>
    <definedName name="Slicer_Product">#N/A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D607EF-9F82-4DDD-BBE1-CE9B40441C67}" keepAlive="1" name="Query - Downtime factors" description="Connection to the 'Downtime factors' query in the workbook." type="5" refreshedVersion="8" background="1" saveData="1">
    <dbPr connection="Provider=Microsoft.Mashup.OleDb.1;Data Source=$Workbook$;Location=&quot;Downtime factors&quot;;Extended Properties=&quot;&quot;" command="SELECT * FROM [Downtime factors]"/>
  </connection>
  <connection id="2" xr16:uid="{CBD0B406-F748-407A-AEBC-97FA307D1DDA}" keepAlive="1" name="Query - Line downtime" description="Connection to the 'Line downtime' query in the workbook." type="5" refreshedVersion="8" background="1" saveData="1">
    <dbPr connection="Provider=Microsoft.Mashup.OleDb.1;Data Source=$Workbook$;Location=&quot;Line downtime&quot;;Extended Properties=&quot;&quot;" command="SELECT * FROM [Line downtime]"/>
  </connection>
  <connection id="3" xr16:uid="{ADA2DAFB-E41E-476A-96AC-670DC45CE31E}" keepAlive="1" name="Query - Line productivity" description="Connection to the 'Line productivity' query in the workbook." type="5" refreshedVersion="8" background="1" saveData="1">
    <dbPr connection="Provider=Microsoft.Mashup.OleDb.1;Data Source=$Workbook$;Location=&quot;Line productivity&quot;;Extended Properties=&quot;&quot;" command="SELECT * FROM [Line productivity]"/>
  </connection>
  <connection id="4" xr16:uid="{02CD7DBB-4BC2-4D9A-8542-FB2F45682FDA}" keepAlive="1" name="Query - Operator Downtime" description="Connection to the 'Operator Downtime' query in the workbook." type="5" refreshedVersion="8" background="1" saveData="1">
    <dbPr connection="Provider=Microsoft.Mashup.OleDb.1;Data Source=$Workbook$;Location=&quot;Operator Downtime&quot;;Extended Properties=&quot;&quot;" command="SELECT * FROM [Operator Downtime]"/>
  </connection>
  <connection id="5" xr16:uid="{4656A7D1-9256-497B-A112-E89587B3B19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<sst xmlns="http://schemas.openxmlformats.org/spreadsheetml/2006/main" count="594" uniqueCount="97">
  <si>
    <t>Date</t>
  </si>
  <si>
    <t>Product</t>
  </si>
  <si>
    <t>Batch</t>
  </si>
  <si>
    <t>Operator</t>
  </si>
  <si>
    <t>Start Time</t>
  </si>
  <si>
    <t>End Time</t>
  </si>
  <si>
    <t>Factor</t>
  </si>
  <si>
    <t>Operator Error</t>
  </si>
  <si>
    <t>Batch change</t>
  </si>
  <si>
    <t>Machine adjustment</t>
  </si>
  <si>
    <t>Product spill</t>
  </si>
  <si>
    <t>Label switch</t>
  </si>
  <si>
    <t>Machine failure</t>
  </si>
  <si>
    <t>Batch coding error</t>
  </si>
  <si>
    <t>Inventory shortage</t>
  </si>
  <si>
    <t>Conveyor belt jam</t>
  </si>
  <si>
    <t>Other</t>
  </si>
  <si>
    <t>Emergency stop</t>
  </si>
  <si>
    <t>Calibration error</t>
  </si>
  <si>
    <t>Labeling error</t>
  </si>
  <si>
    <t>No</t>
  </si>
  <si>
    <t>Yes</t>
  </si>
  <si>
    <t>Description</t>
  </si>
  <si>
    <t>Downtime factor</t>
  </si>
  <si>
    <t>OR-600</t>
  </si>
  <si>
    <t>LE-600</t>
  </si>
  <si>
    <t>CO-600</t>
  </si>
  <si>
    <t>DC-600</t>
  </si>
  <si>
    <t>RB-600</t>
  </si>
  <si>
    <t>CO-2L</t>
  </si>
  <si>
    <t>Flavor</t>
  </si>
  <si>
    <t>Size</t>
  </si>
  <si>
    <t>Orange</t>
  </si>
  <si>
    <t>Lemon lime</t>
  </si>
  <si>
    <t>Cola</t>
  </si>
  <si>
    <t>Diet Cola</t>
  </si>
  <si>
    <t>Root Beer</t>
  </si>
  <si>
    <t>2 L</t>
  </si>
  <si>
    <t>600 ml</t>
  </si>
  <si>
    <t>Min batch time</t>
  </si>
  <si>
    <t>Charlie</t>
  </si>
  <si>
    <t>Dee</t>
  </si>
  <si>
    <t>Dennis</t>
  </si>
  <si>
    <t>Mac</t>
  </si>
  <si>
    <t>Duration</t>
  </si>
  <si>
    <t>Downtime Factor</t>
  </si>
  <si>
    <t>Downtime</t>
  </si>
  <si>
    <t>Row Labels</t>
  </si>
  <si>
    <t>Grand Total</t>
  </si>
  <si>
    <t>Column Labels</t>
  </si>
  <si>
    <t>Count of Operator Error</t>
  </si>
  <si>
    <t>Total Minutes</t>
  </si>
  <si>
    <t>Sum of Total Minutes</t>
  </si>
  <si>
    <t>Count of Product</t>
  </si>
  <si>
    <t>Sum of Min batch time</t>
  </si>
  <si>
    <t>Product Efficiency</t>
  </si>
  <si>
    <t>Downtime Description</t>
  </si>
  <si>
    <t>Count of Downtime Description</t>
  </si>
  <si>
    <t>422111</t>
  </si>
  <si>
    <t>422112</t>
  </si>
  <si>
    <t>422113</t>
  </si>
  <si>
    <t>422114</t>
  </si>
  <si>
    <t>422115</t>
  </si>
  <si>
    <t>422116</t>
  </si>
  <si>
    <t>422117</t>
  </si>
  <si>
    <t>422118</t>
  </si>
  <si>
    <t>422119</t>
  </si>
  <si>
    <t>422120</t>
  </si>
  <si>
    <t>422121</t>
  </si>
  <si>
    <t>422122</t>
  </si>
  <si>
    <t>422123</t>
  </si>
  <si>
    <t>422124</t>
  </si>
  <si>
    <t>422125</t>
  </si>
  <si>
    <t>422126</t>
  </si>
  <si>
    <t>422127</t>
  </si>
  <si>
    <t>422128</t>
  </si>
  <si>
    <t>422129</t>
  </si>
  <si>
    <t>422130</t>
  </si>
  <si>
    <t>422131</t>
  </si>
  <si>
    <t>422132</t>
  </si>
  <si>
    <t>422133</t>
  </si>
  <si>
    <t>422134</t>
  </si>
  <si>
    <t>422135</t>
  </si>
  <si>
    <t>422136</t>
  </si>
  <si>
    <t>422137</t>
  </si>
  <si>
    <t>422138</t>
  </si>
  <si>
    <t>422139</t>
  </si>
  <si>
    <t>422140</t>
  </si>
  <si>
    <t>422141</t>
  </si>
  <si>
    <t>422142</t>
  </si>
  <si>
    <t>422143</t>
  </si>
  <si>
    <t>422144</t>
  </si>
  <si>
    <t>422145</t>
  </si>
  <si>
    <t>422146</t>
  </si>
  <si>
    <t>422147</t>
  </si>
  <si>
    <t>422148</t>
  </si>
  <si>
    <t>Count of Batch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</si>
</sst>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hh:mm:ss"/>
    <numFmt numFmtId="166" formatCode="[$-F400]h:mm:ss\ AM/PM"/>
  </numFmts>
  <fonts count="4" x14ac:knownFonts="1">
    <font>
      <sz val="11"/>
      <color theme="1"/>
      <name val="Aptos Narrow"/>
      <family val="2"/>
      <scheme val="minor"/>
    </font>
    <font>
      <b/>
      <sz val="11"/>
      <color theme="1"/>
      <name val="Aptos Narrow"/>
      <family val="2"/>
      <scheme val="minor"/>
    </font>
    <font>
      <sz val="8"/>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164" fontId="0" fillId="0" borderId="0" xfId="0" applyNumberFormat="1"/>
    <xf numFmtId="0" fontId="1" fillId="2" borderId="0" xfId="0" applyFont="1" applyFill="1"/>
    <xf numFmtId="165" fontId="0" fillId="0" borderId="0" xfId="0" applyNumberFormat="1"/>
    <xf numFmtId="14" fontId="0" fillId="0" borderId="0" xfId="0" applyNumberFormat="1"/>
    <xf numFmtId="166" fontId="0" fillId="0" borderId="0" xfId="0" applyNumberFormat="1"/>
    <xf numFmtId="0" fontId="1" fillId="0" borderId="0" xfId="0" applyFont="1"/>
    <xf numFmtId="10"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 fillId="2" borderId="0" xfId="0" applyFont="1" applyFill="1" applyAlignment="1">
      <alignment horizontal="center"/>
    </xf>
  </cellXfs>
  <cellStyles count="2">
    <cellStyle name="Normal" xfId="0" builtinId="0"/>
    <cellStyle name="Percent" xfId="1" builtinId="5"/>
  </cellStyles>
  <dxfs count="21">
    <dxf>
      <numFmt numFmtId="165" formatCode="hh:mm:ss"/>
    </dxf>
    <dxf>
      <numFmt numFmtId="165" formatCode="hh:mm:ss"/>
    </dxf>
    <dxf>
      <numFmt numFmtId="164" formatCode="yyyy\-mm\-dd;@"/>
    </dxf>
    <dxf>
      <font>
        <b/>
        <i val="0"/>
        <strike val="0"/>
        <condense val="0"/>
        <extend val="0"/>
        <outline val="0"/>
        <shadow val="0"/>
        <u val="none"/>
        <vertAlign val="baseline"/>
        <sz val="11"/>
        <color theme="1"/>
        <name val="Aptos Narrow"/>
        <family val="2"/>
        <scheme val="minor"/>
      </font>
      <fill>
        <patternFill patternType="solid">
          <fgColor indexed="64"/>
          <bgColor theme="3" tint="0.8999908444471571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166" formatCode="[$-F400]h:mm:ss\ AM/PM"/>
    </dxf>
    <dxf>
      <numFmt numFmtId="0" formatCode="General"/>
    </dxf>
    <dxf>
      <numFmt numFmtId="0" formatCode="General"/>
    </dxf>
    <dxf>
      <numFmt numFmtId="0" formatCode="General"/>
    </dxf>
    <dxf>
      <numFmt numFmtId="19" formatCode="d/m/yyyy"/>
    </dxf>
    <dxf>
      <numFmt numFmtId="2" formatCode="0.00"/>
    </dxf>
    <dxf>
      <numFmt numFmtId="0" formatCode="General"/>
    </dxf>
  </dxfs>
  <tableStyles count="0" defaultTableStyle="TableStyleMedium2" defaultPivotStyle="PivotStyleLight16"/>
  <colors>
    <mruColors>
      <color rgb="FF3A6EA5"/>
      <color rgb="FFFFB300"/>
      <color rgb="FFE53935"/>
      <color rgb="FF4CAF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23/09/relationships/Python" Target="pytho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Manufacturing_Line_Productivity.xlsx]Efficiency PV!PivotTable13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MY">
                <a:solidFill>
                  <a:schemeClr val="bg1"/>
                </a:solidFill>
              </a:rPr>
              <a:t>Product Efficiency</a:t>
            </a:r>
          </a:p>
        </c:rich>
      </c:tx>
      <c:overlay val="0"/>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1.0799808429118818E-2"/>
              <c:y val="-5.783573928258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6EA5"/>
          </a:solidFill>
          <a:ln>
            <a:noFill/>
          </a:ln>
          <a:effectLst/>
        </c:spPr>
      </c:pivotFmt>
      <c:pivotFmt>
        <c:idx val="5"/>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1.0799808429118818E-2"/>
              <c:y val="-5.783573928258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3A6EA5"/>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B300"/>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1.0799808429118818E-2"/>
              <c:y val="-5.783573928258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'Efficiency PV'!$B$3</c:f>
              <c:strCache>
                <c:ptCount val="1"/>
                <c:pt idx="0">
                  <c:v>Sum of Total Minutes</c:v>
                </c:pt>
              </c:strCache>
            </c:strRef>
          </c:tx>
          <c:spPr>
            <a:solidFill>
              <a:srgbClr val="3A6EA5"/>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'Efficiency PV'!$A$4:$A$10</c:f>
              <c:strCache>
                <c:ptCount val="6"/>
                <c:pt idx="0">
                  <c:v>CO-2L</c:v>
                </c:pt>
                <c:pt idx="1">
                  <c:v>CO-600</c:v>
                </c:pt>
                <c:pt idx="2">
                  <c:v>DC-600</c:v>
                </c:pt>
                <c:pt idx="3">
                  <c:v>LE-600</c:v>
                </c:pt>
                <c:pt idx="4">
                  <c:v>OR-600</c:v>
                </c:pt>
                <c:pt idx="5">
                  <c:v>RB-600</c:v>
                </c:pt>
              </c:strCache>
            </c:strRef>
          </c:cat>
          <c:val>
            <c:numRef>
              <c:f>'Efficiency PV'!$B$4:$B$10</c:f>
              <c:numCache>
                <c:formatCode>General</c:formatCode>
                <c:ptCount val="6"/>
                <c:pt idx="0">
                  <c:v>767</c:v>
                </c:pt>
                <c:pt idx="1">
                  <c:v>1394</c:v>
                </c:pt>
                <c:pt idx="2">
                  <c:v>355</c:v>
                </c:pt>
                <c:pt idx="3">
                  <c:v>529</c:v>
                </c:pt>
                <c:pt idx="4">
                  <c:v>135</c:v>
                </c:pt>
                <c:pt idx="5">
                  <c:v>678</c:v>
                </c:pt>
              </c:numCache>
            </c:numRef>
          </c:val>
          <c:extLst>
            <c:ext xmlns:c16="http://schemas.microsoft.com/office/drawing/2014/chart" uri="{C3380CC4-5D6E-409C-BE32-E72D297353CC}">
              <c16:uniqueId val="{00000000-EF99-4E93-ADCC-50437D4A81D0}"/>
            </c:ext>
          </c:extLst>
        </c:ser>
        <c:ser>
          <c:idx val="1"/>
          <c:order val="1"/>
          <c:tx>
            <c:strRef>
              <c:f>'Efficiency PV'!$C$3</c:f>
              <c:strCache>
                <c:ptCount val="1"/>
                <c:pt idx="0">
                  <c:v>Sum of Min batch time</c:v>
                </c:pt>
              </c:strCache>
            </c:strRef>
          </c:tx>
          <c:spPr>
            <a:solidFill>
              <a:srgbClr val="FFB300"/>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'Efficiency PV'!$A$4:$A$10</c:f>
              <c:strCache>
                <c:ptCount val="6"/>
                <c:pt idx="0">
                  <c:v>CO-2L</c:v>
                </c:pt>
                <c:pt idx="1">
                  <c:v>CO-600</c:v>
                </c:pt>
                <c:pt idx="2">
                  <c:v>DC-600</c:v>
                </c:pt>
                <c:pt idx="3">
                  <c:v>LE-600</c:v>
                </c:pt>
                <c:pt idx="4">
                  <c:v>OR-600</c:v>
                </c:pt>
                <c:pt idx="5">
                  <c:v>RB-600</c:v>
                </c:pt>
              </c:strCache>
            </c:strRef>
          </c:cat>
          <c:val>
            <c:numRef>
              <c:f>'Efficiency PV'!$C$4:$C$10</c:f>
              <c:numCache>
                <c:formatCode>General</c:formatCode>
                <c:ptCount val="6"/>
                <c:pt idx="0">
                  <c:v>490</c:v>
                </c:pt>
                <c:pt idx="1">
                  <c:v>900</c:v>
                </c:pt>
                <c:pt idx="2">
                  <c:v>240</c:v>
                </c:pt>
                <c:pt idx="3">
                  <c:v>360</c:v>
                </c:pt>
                <c:pt idx="4">
                  <c:v>60</c:v>
                </c:pt>
                <c:pt idx="5">
                  <c:v>420</c:v>
                </c:pt>
              </c:numCache>
            </c:numRef>
          </c:val>
          <c:extLst>
            <c:ext xmlns:c16="http://schemas.microsoft.com/office/drawing/2014/chart" uri="{C3380CC4-5D6E-409C-BE32-E72D297353CC}">
              <c16:uniqueId val="{00000001-EF99-4E93-ADCC-50437D4A81D0}"/>
            </c:ext>
          </c:extLst>
        </c:ser>
        <c:dLbls>
          <c:showLegendKey val="0"/>
          <c:showVal val="0"/>
          <c:showCatName val="0"/>
          <c:showSerName val="0"/>
          <c:showPercent val="0"/>
          <c:showBubbleSize val="0"/>
        </c:dLbls>
        <c:gapWidth val="219"/>
        <c:overlap val="-27"/>
        <c:axId val="1274811839"/>
        <c:axId val="1144871215"/>
      </c:barChart>
      <c:lineChart>
        <c:grouping val="stacked"/>
        <c:varyColors val="0"/>
        <c:ser>
          <c:idx val="2"/>
          <c:order val="2"/>
          <c:tx>
            <c:strRef>
              <c:f>'Efficiency PV'!$D$3</c:f>
              <c:strCache>
                <c:ptCount val="1"/>
                <c:pt idx="0">
                  <c:v>Product Efficiency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1"/>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2-EF99-4E93-ADCC-50437D4A81D0}"/>
              </c:ext>
            </c:extLst>
          </c:dPt>
          <c:dLbls>
            <c:dLbl>
              <c:idx val="1"/>
              <c:layout>
                <c:manualLayout>
                  <c:x val="-1.0799808429118818E-2"/>
                  <c:y val="-5.78357392825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99-4E93-ADCC-50437D4A81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'Efficiency PV'!$A$4:$A$10</c:f>
              <c:strCache>
                <c:ptCount val="6"/>
                <c:pt idx="0">
                  <c:v>CO-2L</c:v>
                </c:pt>
                <c:pt idx="1">
                  <c:v>CO-600</c:v>
                </c:pt>
                <c:pt idx="2">
                  <c:v>DC-600</c:v>
                </c:pt>
                <c:pt idx="3">
                  <c:v>LE-600</c:v>
                </c:pt>
                <c:pt idx="4">
                  <c:v>OR-600</c:v>
                </c:pt>
                <c:pt idx="5">
                  <c:v>RB-600</c:v>
                </c:pt>
              </c:strCache>
            </c:strRef>
          </c:cat>
          <c:val>
            <c:numRef>
              <c:f>'Efficiency PV'!$D$4:$D$10</c:f>
              <c:numCache>
                <c:formatCode>0.00</c:formatCode>
                <c:ptCount val="6"/>
                <c:pt idx="0">
                  <c:v>1.5653061224489795</c:v>
                </c:pt>
                <c:pt idx="1">
                  <c:v>1.548888888888889</c:v>
                </c:pt>
                <c:pt idx="2">
                  <c:v>1.4791666666666667</c:v>
                </c:pt>
                <c:pt idx="3">
                  <c:v>1.4694444444444446</c:v>
                </c:pt>
                <c:pt idx="4">
                  <c:v>2.25</c:v>
                </c:pt>
                <c:pt idx="5">
                  <c:v>1.6142857142857143</c:v>
                </c:pt>
              </c:numCache>
            </c:numRef>
          </c:val>
          <c:smooth val="0"/>
          <c:extLst>
            <c:ext xmlns:c16="http://schemas.microsoft.com/office/drawing/2014/chart" uri="{C3380CC4-5D6E-409C-BE32-E72D297353CC}">
              <c16:uniqueId val="{00000003-EF99-4E93-ADCC-50437D4A81D0}"/>
            </c:ext>
          </c:extLst>
        </c:ser>
        <c:dLbls>
          <c:showLegendKey val="0"/>
          <c:showVal val="0"/>
          <c:showCatName val="0"/>
          <c:showSerName val="0"/>
          <c:showPercent val="0"/>
          <c:showBubbleSize val="0"/>
        </c:dLbls>
        <c:marker val="1"/>
        <c:smooth val="0"/>
        <c:axId val="1274831791"/>
        <c:axId val="1144893775"/>
      </c:lineChart>
      <c:catAx>
        <c:axId val="127481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71215"/>
        <c:crosses val="autoZero"/>
        <c:auto val="1"/>
        <c:lblAlgn val="ctr"/>
        <c:lblOffset val="100"/>
        <c:noMultiLvlLbl val="0"/>
      </c:catAx>
      <c:valAx>
        <c:axId val="114487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11839"/>
        <c:crosses val="autoZero"/>
        <c:crossBetween val="between"/>
      </c:valAx>
      <c:valAx>
        <c:axId val="11448937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31791"/>
        <c:crosses val="max"/>
        <c:crossBetween val="between"/>
      </c:valAx>
      <c:catAx>
        <c:axId val="1274831791"/>
        <c:scaling>
          <c:orientation val="minMax"/>
        </c:scaling>
        <c:delete val="1"/>
        <c:axPos val="b"/>
        <c:numFmt formatCode="General" sourceLinked="1"/>
        <c:majorTickMark val="out"/>
        <c:minorTickMark val="none"/>
        <c:tickLblPos val="nextTo"/>
        <c:crossAx val="1144893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Product PV!PivotTable16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MY">
                <a:solidFill>
                  <a:schemeClr val="bg1"/>
                </a:solidFill>
              </a:rPr>
              <a:t>Operator</a:t>
            </a:r>
            <a:r>
              <a:rPr lang="en-MY" baseline="0">
                <a:solidFill>
                  <a:schemeClr val="bg1"/>
                </a:solidFill>
              </a:rPr>
              <a:t> Error </a:t>
            </a:r>
            <a:endParaRPr lang="en-MY">
              <a:solidFill>
                <a:schemeClr val="bg1"/>
              </a:solidFill>
            </a:endParaRPr>
          </a:p>
        </c:rich>
      </c:tx>
      <c:overlay val="0"/>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MY"/>
        </a:p>
      </c:txPr>
    </c:title>
    <c:autoTitleDeleted val="0"/>
    <c:pivotFmts>
      <c:pivotFmt>
        <c:idx val="0"/>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A6EA5"/>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B300"/>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'Operator Product PV'!$B$3:$B$4</c:f>
              <c:strCache>
                <c:ptCount val="1"/>
                <c:pt idx="0">
                  <c:v>No</c:v>
                </c:pt>
              </c:strCache>
            </c:strRef>
          </c:tx>
          <c:spPr>
            <a:solidFill>
              <a:srgbClr val="3A6EA5"/>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 Product PV'!$A$5:$A$9</c:f>
              <c:strCache>
                <c:ptCount val="4"/>
                <c:pt idx="0">
                  <c:v>Charlie</c:v>
                </c:pt>
                <c:pt idx="1">
                  <c:v>Dee</c:v>
                </c:pt>
                <c:pt idx="2">
                  <c:v>Dennis</c:v>
                </c:pt>
                <c:pt idx="3">
                  <c:v>Mac</c:v>
                </c:pt>
              </c:strCache>
            </c:strRef>
          </c:cat>
          <c:val>
            <c:numRef>
              <c:f>'Operator Product PV'!$B$5:$B$9</c:f>
              <c:numCache>
                <c:formatCode>General</c:formatCode>
                <c:ptCount val="4"/>
                <c:pt idx="0">
                  <c:v>8</c:v>
                </c:pt>
                <c:pt idx="1">
                  <c:v>9</c:v>
                </c:pt>
                <c:pt idx="2">
                  <c:v>6</c:v>
                </c:pt>
                <c:pt idx="3">
                  <c:v>6</c:v>
                </c:pt>
              </c:numCache>
            </c:numRef>
          </c:val>
          <c:extLst>
            <c:ext xmlns:c16="http://schemas.microsoft.com/office/drawing/2014/chart" uri="{C3380CC4-5D6E-409C-BE32-E72D297353CC}">
              <c16:uniqueId val="{00000000-FA66-424B-8D80-0A39A5B4C297}"/>
            </c:ext>
          </c:extLst>
        </c:ser>
        <c:ser>
          <c:idx val="1"/>
          <c:order val="1"/>
          <c:tx>
            <c:strRef>
              <c:f>'Operator Product PV'!$C$3:$C$4</c:f>
              <c:strCache>
                <c:ptCount val="1"/>
                <c:pt idx="0">
                  <c:v>Yes</c:v>
                </c:pt>
              </c:strCache>
            </c:strRef>
          </c:tx>
          <c:spPr>
            <a:solidFill>
              <a:srgbClr val="FFB300"/>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 Product PV'!$A$5:$A$9</c:f>
              <c:strCache>
                <c:ptCount val="4"/>
                <c:pt idx="0">
                  <c:v>Charlie</c:v>
                </c:pt>
                <c:pt idx="1">
                  <c:v>Dee</c:v>
                </c:pt>
                <c:pt idx="2">
                  <c:v>Dennis</c:v>
                </c:pt>
                <c:pt idx="3">
                  <c:v>Mac</c:v>
                </c:pt>
              </c:strCache>
            </c:strRef>
          </c:cat>
          <c:val>
            <c:numRef>
              <c:f>'Operator Product PV'!$C$5:$C$9</c:f>
              <c:numCache>
                <c:formatCode>General</c:formatCode>
                <c:ptCount val="4"/>
                <c:pt idx="0">
                  <c:v>9</c:v>
                </c:pt>
                <c:pt idx="1">
                  <c:v>10</c:v>
                </c:pt>
                <c:pt idx="2">
                  <c:v>6</c:v>
                </c:pt>
                <c:pt idx="3">
                  <c:v>7</c:v>
                </c:pt>
              </c:numCache>
            </c:numRef>
          </c:val>
          <c:extLst>
            <c:ext xmlns:c16="http://schemas.microsoft.com/office/drawing/2014/chart" uri="{C3380CC4-5D6E-409C-BE32-E72D297353CC}">
              <c16:uniqueId val="{00000004-14D5-4377-BD74-6C783AF4597B}"/>
            </c:ext>
          </c:extLst>
        </c:ser>
        <c:dLbls>
          <c:dLblPos val="outEnd"/>
          <c:showLegendKey val="0"/>
          <c:showVal val="1"/>
          <c:showCatName val="0"/>
          <c:showSerName val="0"/>
          <c:showPercent val="0"/>
          <c:showBubbleSize val="0"/>
        </c:dLbls>
        <c:gapWidth val="182"/>
        <c:axId val="1609550608"/>
        <c:axId val="1144830895"/>
      </c:barChart>
      <c:catAx>
        <c:axId val="160955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30895"/>
        <c:crosses val="autoZero"/>
        <c:auto val="1"/>
        <c:lblAlgn val="ctr"/>
        <c:lblOffset val="100"/>
        <c:noMultiLvlLbl val="0"/>
      </c:catAx>
      <c:valAx>
        <c:axId val="114483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55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Product PV!PivotTable20</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Product By Operator</a:t>
            </a:r>
          </a:p>
        </c:rich>
      </c:tx>
      <c:overlay val="0"/>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6EA5"/>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'Operator Product PV'!$B$24</c:f>
              <c:strCache>
                <c:ptCount val="1"/>
                <c:pt idx="0">
                  <c:v>Total</c:v>
                </c:pt>
              </c:strCache>
            </c:strRef>
          </c:tx>
          <c:spPr>
            <a:solidFill>
              <a:srgbClr val="3A6EA5"/>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'Operator Product PV'!$A$25:$A$42</c:f>
              <c:multiLvlStrCache>
                <c:ptCount val="13"/>
                <c:lvl>
                  <c:pt idx="0">
                    <c:v>CO-2L</c:v>
                  </c:pt>
                  <c:pt idx="1">
                    <c:v>CO-600</c:v>
                  </c:pt>
                  <c:pt idx="2">
                    <c:v>LE-600</c:v>
                  </c:pt>
                  <c:pt idx="3">
                    <c:v>CO-600</c:v>
                  </c:pt>
                  <c:pt idx="4">
                    <c:v>DC-600</c:v>
                  </c:pt>
                  <c:pt idx="5">
                    <c:v>RB-600</c:v>
                  </c:pt>
                  <c:pt idx="6">
                    <c:v>CO-2L</c:v>
                  </c:pt>
                  <c:pt idx="7">
                    <c:v>CO-600</c:v>
                  </c:pt>
                  <c:pt idx="8">
                    <c:v>RB-600</c:v>
                  </c:pt>
                  <c:pt idx="9">
                    <c:v>CO-2L</c:v>
                  </c:pt>
                  <c:pt idx="10">
                    <c:v>DC-600</c:v>
                  </c:pt>
                  <c:pt idx="11">
                    <c:v>LE-600</c:v>
                  </c:pt>
                  <c:pt idx="12">
                    <c:v>OR-600</c:v>
                  </c:pt>
                </c:lvl>
                <c:lvl>
                  <c:pt idx="0">
                    <c:v>Charlie</c:v>
                  </c:pt>
                  <c:pt idx="3">
                    <c:v>Dee</c:v>
                  </c:pt>
                  <c:pt idx="6">
                    <c:v>Dennis</c:v>
                  </c:pt>
                  <c:pt idx="9">
                    <c:v>Mac</c:v>
                  </c:pt>
                </c:lvl>
              </c:multiLvlStrCache>
            </c:multiLvlStrRef>
          </c:cat>
          <c:val>
            <c:numRef>
              <c:f>'Operator Product PV'!$B$25:$B$42</c:f>
              <c:numCache>
                <c:formatCode>General</c:formatCode>
                <c:ptCount val="13"/>
                <c:pt idx="0">
                  <c:v>7</c:v>
                </c:pt>
                <c:pt idx="1">
                  <c:v>7</c:v>
                </c:pt>
                <c:pt idx="2">
                  <c:v>3</c:v>
                </c:pt>
                <c:pt idx="3">
                  <c:v>11</c:v>
                </c:pt>
                <c:pt idx="4">
                  <c:v>1</c:v>
                </c:pt>
                <c:pt idx="5">
                  <c:v>7</c:v>
                </c:pt>
                <c:pt idx="6">
                  <c:v>2</c:v>
                </c:pt>
                <c:pt idx="7">
                  <c:v>6</c:v>
                </c:pt>
                <c:pt idx="8">
                  <c:v>4</c:v>
                </c:pt>
                <c:pt idx="9">
                  <c:v>2</c:v>
                </c:pt>
                <c:pt idx="10">
                  <c:v>4</c:v>
                </c:pt>
                <c:pt idx="11">
                  <c:v>5</c:v>
                </c:pt>
                <c:pt idx="12">
                  <c:v>2</c:v>
                </c:pt>
              </c:numCache>
            </c:numRef>
          </c:val>
          <c:extLst>
            <c:ext xmlns:c16="http://schemas.microsoft.com/office/drawing/2014/chart" uri="{C3380CC4-5D6E-409C-BE32-E72D297353CC}">
              <c16:uniqueId val="{00000000-77F4-473E-92B7-2DBB4A55F357}"/>
            </c:ext>
          </c:extLst>
        </c:ser>
        <c:dLbls>
          <c:showLegendKey val="0"/>
          <c:showVal val="0"/>
          <c:showCatName val="0"/>
          <c:showSerName val="0"/>
          <c:showPercent val="0"/>
          <c:showBubbleSize val="0"/>
        </c:dLbls>
        <c:gapWidth val="182"/>
        <c:axId val="1505854607"/>
        <c:axId val="1144860655"/>
      </c:barChart>
      <c:catAx>
        <c:axId val="150585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60655"/>
        <c:crosses val="autoZero"/>
        <c:auto val="1"/>
        <c:lblAlgn val="ctr"/>
        <c:lblOffset val="100"/>
        <c:noMultiLvlLbl val="0"/>
      </c:catAx>
      <c:valAx>
        <c:axId val="114486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85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Error_PV!PivotTable21</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MY">
                <a:solidFill>
                  <a:schemeClr val="bg1"/>
                </a:solidFill>
              </a:rPr>
              <a:t>Downtime Factor by</a:t>
            </a:r>
            <a:r>
              <a:rPr lang="en-MY" baseline="0">
                <a:solidFill>
                  <a:schemeClr val="bg1"/>
                </a:solidFill>
              </a:rPr>
              <a:t> Operator</a:t>
            </a:r>
            <a:endParaRPr lang="en-MY">
              <a:solidFill>
                <a:schemeClr val="bg1"/>
              </a:solidFill>
            </a:endParaRPr>
          </a:p>
        </c:rich>
      </c:tx>
      <c:overlay val="0"/>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B300"/>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50800" dist="38100" dir="18900000" algn="bl" rotWithShape="0">
              <a:prstClr val="black">
                <a:alpha val="40000"/>
              </a:prstClr>
            </a:outerShdw>
          </a:effectLst>
        </c:spPr>
      </c:pivotFmt>
    </c:pivotFmts>
    <c:plotArea>
      <c:layout/>
      <c:barChart>
        <c:barDir val="col"/>
        <c:grouping val="clustered"/>
        <c:varyColors val="0"/>
        <c:ser>
          <c:idx val="0"/>
          <c:order val="0"/>
          <c:tx>
            <c:strRef>
              <c:f>'Operator Error_PV'!$B$65:$B$66</c:f>
              <c:strCache>
                <c:ptCount val="1"/>
                <c:pt idx="0">
                  <c:v>No</c:v>
                </c:pt>
              </c:strCache>
            </c:strRef>
          </c:tx>
          <c:spPr>
            <a:solidFill>
              <a:schemeClr val="accent1"/>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'Operator Error_PV'!$A$67:$A$104</c:f>
              <c:multiLvlStrCache>
                <c:ptCount val="33"/>
                <c:lvl>
                  <c:pt idx="0">
                    <c:v>Batch change</c:v>
                  </c:pt>
                  <c:pt idx="1">
                    <c:v>Batch coding error</c:v>
                  </c:pt>
                  <c:pt idx="2">
                    <c:v>Calibration error</c:v>
                  </c:pt>
                  <c:pt idx="3">
                    <c:v>Inventory shortage</c:v>
                  </c:pt>
                  <c:pt idx="4">
                    <c:v>Label switch</c:v>
                  </c:pt>
                  <c:pt idx="5">
                    <c:v>Labeling error</c:v>
                  </c:pt>
                  <c:pt idx="6">
                    <c:v>Machine adjustment</c:v>
                  </c:pt>
                  <c:pt idx="7">
                    <c:v>Machine failure</c:v>
                  </c:pt>
                  <c:pt idx="8">
                    <c:v>Other</c:v>
                  </c:pt>
                  <c:pt idx="9">
                    <c:v>Product spill</c:v>
                  </c:pt>
                  <c:pt idx="10">
                    <c:v>Batch change</c:v>
                  </c:pt>
                  <c:pt idx="11">
                    <c:v>Batch coding error</c:v>
                  </c:pt>
                  <c:pt idx="12">
                    <c:v>Calibration error</c:v>
                  </c:pt>
                  <c:pt idx="13">
                    <c:v>Conveyor belt jam</c:v>
                  </c:pt>
                  <c:pt idx="14">
                    <c:v>Inventory shortage</c:v>
                  </c:pt>
                  <c:pt idx="15">
                    <c:v>Label switch</c:v>
                  </c:pt>
                  <c:pt idx="16">
                    <c:v>Labeling error</c:v>
                  </c:pt>
                  <c:pt idx="17">
                    <c:v>Machine adjustment</c:v>
                  </c:pt>
                  <c:pt idx="18">
                    <c:v>Machine failure</c:v>
                  </c:pt>
                  <c:pt idx="19">
                    <c:v>Other</c:v>
                  </c:pt>
                  <c:pt idx="20">
                    <c:v>Product spill</c:v>
                  </c:pt>
                  <c:pt idx="21">
                    <c:v>Batch coding error</c:v>
                  </c:pt>
                  <c:pt idx="22">
                    <c:v>Inventory shortage</c:v>
                  </c:pt>
                  <c:pt idx="23">
                    <c:v>Machine adjustment</c:v>
                  </c:pt>
                  <c:pt idx="24">
                    <c:v>Machine failure</c:v>
                  </c:pt>
                  <c:pt idx="25">
                    <c:v>Other</c:v>
                  </c:pt>
                  <c:pt idx="26">
                    <c:v>Product spill</c:v>
                  </c:pt>
                  <c:pt idx="27">
                    <c:v>Batch change</c:v>
                  </c:pt>
                  <c:pt idx="28">
                    <c:v>Batch coding error</c:v>
                  </c:pt>
                  <c:pt idx="29">
                    <c:v>Inventory shortage</c:v>
                  </c:pt>
                  <c:pt idx="30">
                    <c:v>Machine adjustment</c:v>
                  </c:pt>
                  <c:pt idx="31">
                    <c:v>Machine failure</c:v>
                  </c:pt>
                  <c:pt idx="32">
                    <c:v>Other</c:v>
                  </c:pt>
                </c:lvl>
                <c:lvl>
                  <c:pt idx="0">
                    <c:v>Charlie</c:v>
                  </c:pt>
                  <c:pt idx="10">
                    <c:v>Dee</c:v>
                  </c:pt>
                  <c:pt idx="21">
                    <c:v>Dennis</c:v>
                  </c:pt>
                  <c:pt idx="27">
                    <c:v>Mac</c:v>
                  </c:pt>
                </c:lvl>
              </c:multiLvlStrCache>
            </c:multiLvlStrRef>
          </c:cat>
          <c:val>
            <c:numRef>
              <c:f>'Operator Error_PV'!$B$67:$B$104</c:f>
              <c:numCache>
                <c:formatCode>General</c:formatCode>
                <c:ptCount val="33"/>
                <c:pt idx="3">
                  <c:v>1</c:v>
                </c:pt>
                <c:pt idx="5">
                  <c:v>1</c:v>
                </c:pt>
                <c:pt idx="7">
                  <c:v>3</c:v>
                </c:pt>
                <c:pt idx="8">
                  <c:v>3</c:v>
                </c:pt>
                <c:pt idx="13">
                  <c:v>1</c:v>
                </c:pt>
                <c:pt idx="14">
                  <c:v>4</c:v>
                </c:pt>
                <c:pt idx="16">
                  <c:v>1</c:v>
                </c:pt>
                <c:pt idx="18">
                  <c:v>2</c:v>
                </c:pt>
                <c:pt idx="19">
                  <c:v>1</c:v>
                </c:pt>
                <c:pt idx="22">
                  <c:v>1</c:v>
                </c:pt>
                <c:pt idx="24">
                  <c:v>4</c:v>
                </c:pt>
                <c:pt idx="25">
                  <c:v>1</c:v>
                </c:pt>
                <c:pt idx="29">
                  <c:v>3</c:v>
                </c:pt>
                <c:pt idx="31">
                  <c:v>2</c:v>
                </c:pt>
                <c:pt idx="32">
                  <c:v>1</c:v>
                </c:pt>
              </c:numCache>
            </c:numRef>
          </c:val>
          <c:extLst>
            <c:ext xmlns:c16="http://schemas.microsoft.com/office/drawing/2014/chart" uri="{C3380CC4-5D6E-409C-BE32-E72D297353CC}">
              <c16:uniqueId val="{00000000-03FE-4634-A9D5-8CD58E51817A}"/>
            </c:ext>
          </c:extLst>
        </c:ser>
        <c:ser>
          <c:idx val="1"/>
          <c:order val="1"/>
          <c:tx>
            <c:strRef>
              <c:f>'Operator Error_PV'!$C$65:$C$66</c:f>
              <c:strCache>
                <c:ptCount val="1"/>
                <c:pt idx="0">
                  <c:v>Yes</c:v>
                </c:pt>
              </c:strCache>
            </c:strRef>
          </c:tx>
          <c:spPr>
            <a:solidFill>
              <a:srgbClr val="FFB300"/>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'Operator Error_PV'!$A$67:$A$104</c:f>
              <c:multiLvlStrCache>
                <c:ptCount val="33"/>
                <c:lvl>
                  <c:pt idx="0">
                    <c:v>Batch change</c:v>
                  </c:pt>
                  <c:pt idx="1">
                    <c:v>Batch coding error</c:v>
                  </c:pt>
                  <c:pt idx="2">
                    <c:v>Calibration error</c:v>
                  </c:pt>
                  <c:pt idx="3">
                    <c:v>Inventory shortage</c:v>
                  </c:pt>
                  <c:pt idx="4">
                    <c:v>Label switch</c:v>
                  </c:pt>
                  <c:pt idx="5">
                    <c:v>Labeling error</c:v>
                  </c:pt>
                  <c:pt idx="6">
                    <c:v>Machine adjustment</c:v>
                  </c:pt>
                  <c:pt idx="7">
                    <c:v>Machine failure</c:v>
                  </c:pt>
                  <c:pt idx="8">
                    <c:v>Other</c:v>
                  </c:pt>
                  <c:pt idx="9">
                    <c:v>Product spill</c:v>
                  </c:pt>
                  <c:pt idx="10">
                    <c:v>Batch change</c:v>
                  </c:pt>
                  <c:pt idx="11">
                    <c:v>Batch coding error</c:v>
                  </c:pt>
                  <c:pt idx="12">
                    <c:v>Calibration error</c:v>
                  </c:pt>
                  <c:pt idx="13">
                    <c:v>Conveyor belt jam</c:v>
                  </c:pt>
                  <c:pt idx="14">
                    <c:v>Inventory shortage</c:v>
                  </c:pt>
                  <c:pt idx="15">
                    <c:v>Label switch</c:v>
                  </c:pt>
                  <c:pt idx="16">
                    <c:v>Labeling error</c:v>
                  </c:pt>
                  <c:pt idx="17">
                    <c:v>Machine adjustment</c:v>
                  </c:pt>
                  <c:pt idx="18">
                    <c:v>Machine failure</c:v>
                  </c:pt>
                  <c:pt idx="19">
                    <c:v>Other</c:v>
                  </c:pt>
                  <c:pt idx="20">
                    <c:v>Product spill</c:v>
                  </c:pt>
                  <c:pt idx="21">
                    <c:v>Batch coding error</c:v>
                  </c:pt>
                  <c:pt idx="22">
                    <c:v>Inventory shortage</c:v>
                  </c:pt>
                  <c:pt idx="23">
                    <c:v>Machine adjustment</c:v>
                  </c:pt>
                  <c:pt idx="24">
                    <c:v>Machine failure</c:v>
                  </c:pt>
                  <c:pt idx="25">
                    <c:v>Other</c:v>
                  </c:pt>
                  <c:pt idx="26">
                    <c:v>Product spill</c:v>
                  </c:pt>
                  <c:pt idx="27">
                    <c:v>Batch change</c:v>
                  </c:pt>
                  <c:pt idx="28">
                    <c:v>Batch coding error</c:v>
                  </c:pt>
                  <c:pt idx="29">
                    <c:v>Inventory shortage</c:v>
                  </c:pt>
                  <c:pt idx="30">
                    <c:v>Machine adjustment</c:v>
                  </c:pt>
                  <c:pt idx="31">
                    <c:v>Machine failure</c:v>
                  </c:pt>
                  <c:pt idx="32">
                    <c:v>Other</c:v>
                  </c:pt>
                </c:lvl>
                <c:lvl>
                  <c:pt idx="0">
                    <c:v>Charlie</c:v>
                  </c:pt>
                  <c:pt idx="10">
                    <c:v>Dee</c:v>
                  </c:pt>
                  <c:pt idx="21">
                    <c:v>Dennis</c:v>
                  </c:pt>
                  <c:pt idx="27">
                    <c:v>Mac</c:v>
                  </c:pt>
                </c:lvl>
              </c:multiLvlStrCache>
            </c:multiLvlStrRef>
          </c:cat>
          <c:val>
            <c:numRef>
              <c:f>'Operator Error_PV'!$C$67:$C$104</c:f>
              <c:numCache>
                <c:formatCode>General</c:formatCode>
                <c:ptCount val="33"/>
                <c:pt idx="0">
                  <c:v>1</c:v>
                </c:pt>
                <c:pt idx="1">
                  <c:v>1</c:v>
                </c:pt>
                <c:pt idx="2">
                  <c:v>1</c:v>
                </c:pt>
                <c:pt idx="4">
                  <c:v>1</c:v>
                </c:pt>
                <c:pt idx="6">
                  <c:v>4</c:v>
                </c:pt>
                <c:pt idx="9">
                  <c:v>1</c:v>
                </c:pt>
                <c:pt idx="10">
                  <c:v>1</c:v>
                </c:pt>
                <c:pt idx="11">
                  <c:v>1</c:v>
                </c:pt>
                <c:pt idx="12">
                  <c:v>2</c:v>
                </c:pt>
                <c:pt idx="15">
                  <c:v>2</c:v>
                </c:pt>
                <c:pt idx="17">
                  <c:v>3</c:v>
                </c:pt>
                <c:pt idx="20">
                  <c:v>1</c:v>
                </c:pt>
                <c:pt idx="21">
                  <c:v>1</c:v>
                </c:pt>
                <c:pt idx="23">
                  <c:v>4</c:v>
                </c:pt>
                <c:pt idx="26">
                  <c:v>1</c:v>
                </c:pt>
                <c:pt idx="27">
                  <c:v>3</c:v>
                </c:pt>
                <c:pt idx="28">
                  <c:v>3</c:v>
                </c:pt>
                <c:pt idx="30">
                  <c:v>1</c:v>
                </c:pt>
              </c:numCache>
            </c:numRef>
          </c:val>
          <c:extLst>
            <c:ext xmlns:c16="http://schemas.microsoft.com/office/drawing/2014/chart" uri="{C3380CC4-5D6E-409C-BE32-E72D297353CC}">
              <c16:uniqueId val="{00000005-8647-4B13-9893-F64C5AE2EA94}"/>
            </c:ext>
          </c:extLst>
        </c:ser>
        <c:dLbls>
          <c:dLblPos val="outEnd"/>
          <c:showLegendKey val="0"/>
          <c:showVal val="1"/>
          <c:showCatName val="0"/>
          <c:showSerName val="0"/>
          <c:showPercent val="0"/>
          <c:showBubbleSize val="0"/>
        </c:dLbls>
        <c:gapWidth val="219"/>
        <c:overlap val="-27"/>
        <c:axId val="1505962719"/>
        <c:axId val="1144913935"/>
      </c:barChart>
      <c:catAx>
        <c:axId val="150596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3935"/>
        <c:crosses val="autoZero"/>
        <c:auto val="1"/>
        <c:lblAlgn val="ctr"/>
        <c:lblOffset val="100"/>
        <c:noMultiLvlLbl val="0"/>
      </c:catAx>
      <c:valAx>
        <c:axId val="114491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9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Error_PV!PivotTable19</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MY">
                <a:solidFill>
                  <a:schemeClr val="bg1"/>
                </a:solidFill>
              </a:rPr>
              <a:t>Downtime</a:t>
            </a:r>
            <a:r>
              <a:rPr lang="en-MY" baseline="0">
                <a:solidFill>
                  <a:schemeClr val="bg1"/>
                </a:solidFill>
              </a:rPr>
              <a:t> Factor by Product</a:t>
            </a:r>
            <a:endParaRPr lang="en-MY">
              <a:solidFill>
                <a:schemeClr val="bg1"/>
              </a:solidFill>
            </a:endParaRPr>
          </a:p>
        </c:rich>
      </c:tx>
      <c:overlay val="0"/>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MY"/>
        </a:p>
      </c:txPr>
    </c:title>
    <c:autoTitleDeleted val="0"/>
    <c:pivotFmts>
      <c:pivotFmt>
        <c:idx val="0"/>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A6EA5"/>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B300"/>
          </a:solidFill>
          <a:ln>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'Operator Error_PV'!$B$18:$B$19</c:f>
              <c:strCache>
                <c:ptCount val="1"/>
                <c:pt idx="0">
                  <c:v>No</c:v>
                </c:pt>
              </c:strCache>
            </c:strRef>
          </c:tx>
          <c:spPr>
            <a:solidFill>
              <a:srgbClr val="3A6EA5"/>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'Operator Error_PV'!$A$20:$A$61</c:f>
              <c:multiLvlStrCache>
                <c:ptCount val="35"/>
                <c:lvl>
                  <c:pt idx="0">
                    <c:v>Batch coding error</c:v>
                  </c:pt>
                  <c:pt idx="1">
                    <c:v>Inventory shortage</c:v>
                  </c:pt>
                  <c:pt idx="2">
                    <c:v>Labeling error</c:v>
                  </c:pt>
                  <c:pt idx="3">
                    <c:v>Machine adjustment</c:v>
                  </c:pt>
                  <c:pt idx="4">
                    <c:v>Machine failure</c:v>
                  </c:pt>
                  <c:pt idx="5">
                    <c:v>Other</c:v>
                  </c:pt>
                  <c:pt idx="6">
                    <c:v>Batch change</c:v>
                  </c:pt>
                  <c:pt idx="7">
                    <c:v>Batch coding error</c:v>
                  </c:pt>
                  <c:pt idx="8">
                    <c:v>Calibration error</c:v>
                  </c:pt>
                  <c:pt idx="9">
                    <c:v>Conveyor belt jam</c:v>
                  </c:pt>
                  <c:pt idx="10">
                    <c:v>Inventory shortage</c:v>
                  </c:pt>
                  <c:pt idx="11">
                    <c:v>Label switch</c:v>
                  </c:pt>
                  <c:pt idx="12">
                    <c:v>Machine adjustment</c:v>
                  </c:pt>
                  <c:pt idx="13">
                    <c:v>Machine failure</c:v>
                  </c:pt>
                  <c:pt idx="14">
                    <c:v>Other</c:v>
                  </c:pt>
                  <c:pt idx="15">
                    <c:v>Product spill</c:v>
                  </c:pt>
                  <c:pt idx="16">
                    <c:v>Batch coding error</c:v>
                  </c:pt>
                  <c:pt idx="17">
                    <c:v>Inventory shortage</c:v>
                  </c:pt>
                  <c:pt idx="18">
                    <c:v>Machine failure</c:v>
                  </c:pt>
                  <c:pt idx="19">
                    <c:v>Other</c:v>
                  </c:pt>
                  <c:pt idx="20">
                    <c:v>Batch change</c:v>
                  </c:pt>
                  <c:pt idx="21">
                    <c:v>Batch coding error</c:v>
                  </c:pt>
                  <c:pt idx="22">
                    <c:v>Calibration error</c:v>
                  </c:pt>
                  <c:pt idx="23">
                    <c:v>Inventory shortage</c:v>
                  </c:pt>
                  <c:pt idx="24">
                    <c:v>Machine adjustment</c:v>
                  </c:pt>
                  <c:pt idx="25">
                    <c:v>Batch change</c:v>
                  </c:pt>
                  <c:pt idx="26">
                    <c:v>Machine failure</c:v>
                  </c:pt>
                  <c:pt idx="27">
                    <c:v>Batch coding error</c:v>
                  </c:pt>
                  <c:pt idx="28">
                    <c:v>Calibration error</c:v>
                  </c:pt>
                  <c:pt idx="29">
                    <c:v>Inventory shortage</c:v>
                  </c:pt>
                  <c:pt idx="30">
                    <c:v>Label switch</c:v>
                  </c:pt>
                  <c:pt idx="31">
                    <c:v>Labeling error</c:v>
                  </c:pt>
                  <c:pt idx="32">
                    <c:v>Machine adjustment</c:v>
                  </c:pt>
                  <c:pt idx="33">
                    <c:v>Machine failure</c:v>
                  </c:pt>
                  <c:pt idx="34">
                    <c:v>Other</c:v>
                  </c:pt>
                </c:lvl>
                <c:lvl>
                  <c:pt idx="0">
                    <c:v>CO-2L</c:v>
                  </c:pt>
                  <c:pt idx="6">
                    <c:v>CO-600</c:v>
                  </c:pt>
                  <c:pt idx="16">
                    <c:v>DC-600</c:v>
                  </c:pt>
                  <c:pt idx="20">
                    <c:v>LE-600</c:v>
                  </c:pt>
                  <c:pt idx="25">
                    <c:v>OR-600</c:v>
                  </c:pt>
                  <c:pt idx="27">
                    <c:v>RB-600</c:v>
                  </c:pt>
                </c:lvl>
              </c:multiLvlStrCache>
            </c:multiLvlStrRef>
          </c:cat>
          <c:val>
            <c:numRef>
              <c:f>'Operator Error_PV'!$B$20:$B$61</c:f>
              <c:numCache>
                <c:formatCode>General</c:formatCode>
                <c:ptCount val="35"/>
                <c:pt idx="1">
                  <c:v>2</c:v>
                </c:pt>
                <c:pt idx="2">
                  <c:v>1</c:v>
                </c:pt>
                <c:pt idx="4">
                  <c:v>2</c:v>
                </c:pt>
                <c:pt idx="5">
                  <c:v>1</c:v>
                </c:pt>
                <c:pt idx="9">
                  <c:v>1</c:v>
                </c:pt>
                <c:pt idx="10">
                  <c:v>4</c:v>
                </c:pt>
                <c:pt idx="13">
                  <c:v>5</c:v>
                </c:pt>
                <c:pt idx="14">
                  <c:v>3</c:v>
                </c:pt>
                <c:pt idx="17">
                  <c:v>1</c:v>
                </c:pt>
                <c:pt idx="18">
                  <c:v>2</c:v>
                </c:pt>
                <c:pt idx="19">
                  <c:v>1</c:v>
                </c:pt>
                <c:pt idx="23">
                  <c:v>1</c:v>
                </c:pt>
                <c:pt idx="26">
                  <c:v>1</c:v>
                </c:pt>
                <c:pt idx="29">
                  <c:v>1</c:v>
                </c:pt>
                <c:pt idx="31">
                  <c:v>1</c:v>
                </c:pt>
                <c:pt idx="33">
                  <c:v>1</c:v>
                </c:pt>
                <c:pt idx="34">
                  <c:v>1</c:v>
                </c:pt>
              </c:numCache>
            </c:numRef>
          </c:val>
          <c:extLst>
            <c:ext xmlns:c16="http://schemas.microsoft.com/office/drawing/2014/chart" uri="{C3380CC4-5D6E-409C-BE32-E72D297353CC}">
              <c16:uniqueId val="{00000000-90D3-432A-8B58-DB3164774754}"/>
            </c:ext>
          </c:extLst>
        </c:ser>
        <c:ser>
          <c:idx val="1"/>
          <c:order val="1"/>
          <c:tx>
            <c:strRef>
              <c:f>'Operator Error_PV'!$C$18:$C$19</c:f>
              <c:strCache>
                <c:ptCount val="1"/>
                <c:pt idx="0">
                  <c:v>Yes</c:v>
                </c:pt>
              </c:strCache>
            </c:strRef>
          </c:tx>
          <c:spPr>
            <a:solidFill>
              <a:srgbClr val="FFB300"/>
            </a:solidFill>
            <a:ln>
              <a:noFill/>
            </a:ln>
            <a:effectLst>
              <a:outerShdw blurRad="63500" sx="102000" sy="102000" algn="ctr" rotWithShape="0">
                <a:prstClr val="black">
                  <a:alpha val="40000"/>
                </a:prstClr>
              </a:outerShdw>
            </a:effectLst>
          </c:spPr>
          <c:invertIfNegative val="0"/>
          <c:cat>
            <c:multiLvlStrRef>
              <c:f>'Operator Error_PV'!$A$20:$A$61</c:f>
              <c:multiLvlStrCache>
                <c:ptCount val="35"/>
                <c:lvl>
                  <c:pt idx="0">
                    <c:v>Batch coding error</c:v>
                  </c:pt>
                  <c:pt idx="1">
                    <c:v>Inventory shortage</c:v>
                  </c:pt>
                  <c:pt idx="2">
                    <c:v>Labeling error</c:v>
                  </c:pt>
                  <c:pt idx="3">
                    <c:v>Machine adjustment</c:v>
                  </c:pt>
                  <c:pt idx="4">
                    <c:v>Machine failure</c:v>
                  </c:pt>
                  <c:pt idx="5">
                    <c:v>Other</c:v>
                  </c:pt>
                  <c:pt idx="6">
                    <c:v>Batch change</c:v>
                  </c:pt>
                  <c:pt idx="7">
                    <c:v>Batch coding error</c:v>
                  </c:pt>
                  <c:pt idx="8">
                    <c:v>Calibration error</c:v>
                  </c:pt>
                  <c:pt idx="9">
                    <c:v>Conveyor belt jam</c:v>
                  </c:pt>
                  <c:pt idx="10">
                    <c:v>Inventory shortage</c:v>
                  </c:pt>
                  <c:pt idx="11">
                    <c:v>Label switch</c:v>
                  </c:pt>
                  <c:pt idx="12">
                    <c:v>Machine adjustment</c:v>
                  </c:pt>
                  <c:pt idx="13">
                    <c:v>Machine failure</c:v>
                  </c:pt>
                  <c:pt idx="14">
                    <c:v>Other</c:v>
                  </c:pt>
                  <c:pt idx="15">
                    <c:v>Product spill</c:v>
                  </c:pt>
                  <c:pt idx="16">
                    <c:v>Batch coding error</c:v>
                  </c:pt>
                  <c:pt idx="17">
                    <c:v>Inventory shortage</c:v>
                  </c:pt>
                  <c:pt idx="18">
                    <c:v>Machine failure</c:v>
                  </c:pt>
                  <c:pt idx="19">
                    <c:v>Other</c:v>
                  </c:pt>
                  <c:pt idx="20">
                    <c:v>Batch change</c:v>
                  </c:pt>
                  <c:pt idx="21">
                    <c:v>Batch coding error</c:v>
                  </c:pt>
                  <c:pt idx="22">
                    <c:v>Calibration error</c:v>
                  </c:pt>
                  <c:pt idx="23">
                    <c:v>Inventory shortage</c:v>
                  </c:pt>
                  <c:pt idx="24">
                    <c:v>Machine adjustment</c:v>
                  </c:pt>
                  <c:pt idx="25">
                    <c:v>Batch change</c:v>
                  </c:pt>
                  <c:pt idx="26">
                    <c:v>Machine failure</c:v>
                  </c:pt>
                  <c:pt idx="27">
                    <c:v>Batch coding error</c:v>
                  </c:pt>
                  <c:pt idx="28">
                    <c:v>Calibration error</c:v>
                  </c:pt>
                  <c:pt idx="29">
                    <c:v>Inventory shortage</c:v>
                  </c:pt>
                  <c:pt idx="30">
                    <c:v>Label switch</c:v>
                  </c:pt>
                  <c:pt idx="31">
                    <c:v>Labeling error</c:v>
                  </c:pt>
                  <c:pt idx="32">
                    <c:v>Machine adjustment</c:v>
                  </c:pt>
                  <c:pt idx="33">
                    <c:v>Machine failure</c:v>
                  </c:pt>
                  <c:pt idx="34">
                    <c:v>Other</c:v>
                  </c:pt>
                </c:lvl>
                <c:lvl>
                  <c:pt idx="0">
                    <c:v>CO-2L</c:v>
                  </c:pt>
                  <c:pt idx="6">
                    <c:v>CO-600</c:v>
                  </c:pt>
                  <c:pt idx="16">
                    <c:v>DC-600</c:v>
                  </c:pt>
                  <c:pt idx="20">
                    <c:v>LE-600</c:v>
                  </c:pt>
                  <c:pt idx="25">
                    <c:v>OR-600</c:v>
                  </c:pt>
                  <c:pt idx="27">
                    <c:v>RB-600</c:v>
                  </c:pt>
                </c:lvl>
              </c:multiLvlStrCache>
            </c:multiLvlStrRef>
          </c:cat>
          <c:val>
            <c:numRef>
              <c:f>'Operator Error_PV'!$C$20:$C$61</c:f>
              <c:numCache>
                <c:formatCode>General</c:formatCode>
                <c:ptCount val="35"/>
                <c:pt idx="0">
                  <c:v>2</c:v>
                </c:pt>
                <c:pt idx="3">
                  <c:v>3</c:v>
                </c:pt>
                <c:pt idx="6">
                  <c:v>1</c:v>
                </c:pt>
                <c:pt idx="7">
                  <c:v>1</c:v>
                </c:pt>
                <c:pt idx="8">
                  <c:v>1</c:v>
                </c:pt>
                <c:pt idx="11">
                  <c:v>2</c:v>
                </c:pt>
                <c:pt idx="12">
                  <c:v>3</c:v>
                </c:pt>
                <c:pt idx="15">
                  <c:v>3</c:v>
                </c:pt>
                <c:pt idx="16">
                  <c:v>1</c:v>
                </c:pt>
                <c:pt idx="20">
                  <c:v>3</c:v>
                </c:pt>
                <c:pt idx="21">
                  <c:v>1</c:v>
                </c:pt>
                <c:pt idx="22">
                  <c:v>1</c:v>
                </c:pt>
                <c:pt idx="24">
                  <c:v>2</c:v>
                </c:pt>
                <c:pt idx="25">
                  <c:v>1</c:v>
                </c:pt>
                <c:pt idx="27">
                  <c:v>1</c:v>
                </c:pt>
                <c:pt idx="28">
                  <c:v>1</c:v>
                </c:pt>
                <c:pt idx="30">
                  <c:v>1</c:v>
                </c:pt>
                <c:pt idx="32">
                  <c:v>4</c:v>
                </c:pt>
              </c:numCache>
            </c:numRef>
          </c:val>
          <c:extLst>
            <c:ext xmlns:c16="http://schemas.microsoft.com/office/drawing/2014/chart" uri="{C3380CC4-5D6E-409C-BE32-E72D297353CC}">
              <c16:uniqueId val="{00000004-8DB5-48F6-AFE0-FA0452B9B5C8}"/>
            </c:ext>
          </c:extLst>
        </c:ser>
        <c:dLbls>
          <c:showLegendKey val="0"/>
          <c:showVal val="0"/>
          <c:showCatName val="0"/>
          <c:showSerName val="0"/>
          <c:showPercent val="0"/>
          <c:showBubbleSize val="0"/>
        </c:dLbls>
        <c:gapWidth val="219"/>
        <c:overlap val="-27"/>
        <c:axId val="1575383615"/>
        <c:axId val="1144906735"/>
      </c:barChart>
      <c:catAx>
        <c:axId val="157538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06735"/>
        <c:crosses val="autoZero"/>
        <c:auto val="1"/>
        <c:lblAlgn val="ctr"/>
        <c:lblOffset val="100"/>
        <c:noMultiLvlLbl val="0"/>
      </c:catAx>
      <c:valAx>
        <c:axId val="114490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8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Manufacturing_Line_Productivity.xlsx]Efficiency PV!PivotTable22</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MY">
                <a:solidFill>
                  <a:schemeClr val="bg1"/>
                </a:solidFill>
              </a:rPr>
              <a:t>Total Batch</a:t>
            </a:r>
            <a:r>
              <a:rPr lang="en-MY" baseline="0">
                <a:solidFill>
                  <a:schemeClr val="bg1"/>
                </a:solidFill>
              </a:rPr>
              <a:t> by </a:t>
            </a:r>
            <a:r>
              <a:rPr lang="en-MY">
                <a:solidFill>
                  <a:schemeClr val="bg1"/>
                </a:solidFill>
              </a:rPr>
              <a:t>Product</a:t>
            </a:r>
          </a:p>
        </c:rich>
      </c:tx>
      <c:overlay val="0"/>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A6EA5"/>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'Efficiency PV'!$B$17</c:f>
              <c:strCache>
                <c:ptCount val="1"/>
                <c:pt idx="0">
                  <c:v>Total</c:v>
                </c:pt>
              </c:strCache>
            </c:strRef>
          </c:tx>
          <c:spPr>
            <a:solidFill>
              <a:srgbClr val="3A6EA5"/>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'Efficiency PV'!$A$18:$A$24</c:f>
              <c:strCache>
                <c:ptCount val="6"/>
                <c:pt idx="0">
                  <c:v>CO-2L</c:v>
                </c:pt>
                <c:pt idx="1">
                  <c:v>CO-600</c:v>
                </c:pt>
                <c:pt idx="2">
                  <c:v>DC-600</c:v>
                </c:pt>
                <c:pt idx="3">
                  <c:v>LE-600</c:v>
                </c:pt>
                <c:pt idx="4">
                  <c:v>OR-600</c:v>
                </c:pt>
                <c:pt idx="5">
                  <c:v>RB-600</c:v>
                </c:pt>
              </c:strCache>
            </c:strRef>
          </c:cat>
          <c:val>
            <c:numRef>
              <c:f>'Efficiency PV'!$B$18:$B$24</c:f>
              <c:numCache>
                <c:formatCode>General</c:formatCode>
                <c:ptCount val="6"/>
                <c:pt idx="0">
                  <c:v>5</c:v>
                </c:pt>
                <c:pt idx="1">
                  <c:v>15</c:v>
                </c:pt>
                <c:pt idx="2">
                  <c:v>4</c:v>
                </c:pt>
                <c:pt idx="3">
                  <c:v>6</c:v>
                </c:pt>
                <c:pt idx="4">
                  <c:v>1</c:v>
                </c:pt>
                <c:pt idx="5">
                  <c:v>7</c:v>
                </c:pt>
              </c:numCache>
            </c:numRef>
          </c:val>
          <c:extLst>
            <c:ext xmlns:c16="http://schemas.microsoft.com/office/drawing/2014/chart" uri="{C3380CC4-5D6E-409C-BE32-E72D297353CC}">
              <c16:uniqueId val="{00000000-9082-496E-BBC0-ACC3E1CC9CB9}"/>
            </c:ext>
          </c:extLst>
        </c:ser>
        <c:dLbls>
          <c:dLblPos val="outEnd"/>
          <c:showLegendKey val="0"/>
          <c:showVal val="1"/>
          <c:showCatName val="0"/>
          <c:showSerName val="0"/>
          <c:showPercent val="0"/>
          <c:showBubbleSize val="0"/>
        </c:dLbls>
        <c:gapWidth val="219"/>
        <c:overlap val="-27"/>
        <c:axId val="1575620255"/>
        <c:axId val="1571149967"/>
      </c:barChart>
      <c:catAx>
        <c:axId val="1575620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49967"/>
        <c:crosses val="autoZero"/>
        <c:auto val="1"/>
        <c:lblAlgn val="ctr"/>
        <c:lblOffset val="100"/>
        <c:noMultiLvlLbl val="0"/>
      </c:catAx>
      <c:valAx>
        <c:axId val="1571149967"/>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62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Error_PV!PivotTable17</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Total Downtime Factor</a:t>
            </a:r>
          </a:p>
        </c:rich>
      </c:tx>
      <c:overlay val="0"/>
      <c:spPr>
        <a:solidFill>
          <a:schemeClr val="accent1"/>
        </a:solidFill>
        <a:ln>
          <a:no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3A6EA5"/>
          </a:solidFill>
          <a:ln>
            <a:noFill/>
          </a:ln>
          <a:effectLst>
            <a:outerShdw blurRad="50800" dist="38100" dir="18900000" algn="b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'Operator Error_PV'!$B$2</c:f>
              <c:strCache>
                <c:ptCount val="1"/>
                <c:pt idx="0">
                  <c:v>Total</c:v>
                </c:pt>
              </c:strCache>
            </c:strRef>
          </c:tx>
          <c:spPr>
            <a:solidFill>
              <a:srgbClr val="3A6EA5"/>
            </a:solidFill>
            <a:ln>
              <a:noFill/>
            </a:ln>
            <a:effectLst>
              <a:outerShdw blurRad="50800" dist="38100" dir="18900000" algn="b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 Error_PV'!$A$3:$A$14</c:f>
              <c:strCache>
                <c:ptCount val="11"/>
                <c:pt idx="0">
                  <c:v>Batch change</c:v>
                </c:pt>
                <c:pt idx="1">
                  <c:v>Batch coding error</c:v>
                </c:pt>
                <c:pt idx="2">
                  <c:v>Calibration error</c:v>
                </c:pt>
                <c:pt idx="3">
                  <c:v>Conveyor belt jam</c:v>
                </c:pt>
                <c:pt idx="4">
                  <c:v>Inventory shortage</c:v>
                </c:pt>
                <c:pt idx="5">
                  <c:v>Label switch</c:v>
                </c:pt>
                <c:pt idx="6">
                  <c:v>Labeling error</c:v>
                </c:pt>
                <c:pt idx="7">
                  <c:v>Machine adjustment</c:v>
                </c:pt>
                <c:pt idx="8">
                  <c:v>Machine failure</c:v>
                </c:pt>
                <c:pt idx="9">
                  <c:v>Other</c:v>
                </c:pt>
                <c:pt idx="10">
                  <c:v>Product spill</c:v>
                </c:pt>
              </c:strCache>
            </c:strRef>
          </c:cat>
          <c:val>
            <c:numRef>
              <c:f>'Operator Error_PV'!$B$3:$B$14</c:f>
              <c:numCache>
                <c:formatCode>General</c:formatCode>
                <c:ptCount val="11"/>
                <c:pt idx="0">
                  <c:v>5</c:v>
                </c:pt>
                <c:pt idx="1">
                  <c:v>6</c:v>
                </c:pt>
                <c:pt idx="2">
                  <c:v>3</c:v>
                </c:pt>
                <c:pt idx="3">
                  <c:v>1</c:v>
                </c:pt>
                <c:pt idx="4">
                  <c:v>9</c:v>
                </c:pt>
                <c:pt idx="5">
                  <c:v>3</c:v>
                </c:pt>
                <c:pt idx="6">
                  <c:v>2</c:v>
                </c:pt>
                <c:pt idx="7">
                  <c:v>12</c:v>
                </c:pt>
                <c:pt idx="8">
                  <c:v>11</c:v>
                </c:pt>
                <c:pt idx="9">
                  <c:v>6</c:v>
                </c:pt>
                <c:pt idx="10">
                  <c:v>3</c:v>
                </c:pt>
              </c:numCache>
            </c:numRef>
          </c:val>
          <c:extLst>
            <c:ext xmlns:c16="http://schemas.microsoft.com/office/drawing/2014/chart" uri="{C3380CC4-5D6E-409C-BE32-E72D297353CC}">
              <c16:uniqueId val="{00000000-A216-49AB-BBDD-E3F98A7274C1}"/>
            </c:ext>
          </c:extLst>
        </c:ser>
        <c:dLbls>
          <c:dLblPos val="outEnd"/>
          <c:showLegendKey val="0"/>
          <c:showVal val="1"/>
          <c:showCatName val="0"/>
          <c:showSerName val="0"/>
          <c:showPercent val="0"/>
          <c:showBubbleSize val="0"/>
        </c:dLbls>
        <c:gapWidth val="219"/>
        <c:overlap val="-27"/>
        <c:axId val="217597504"/>
        <c:axId val="1144916815"/>
      </c:barChart>
      <c:catAx>
        <c:axId val="21759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6815"/>
        <c:crosses val="autoZero"/>
        <c:auto val="1"/>
        <c:lblAlgn val="ctr"/>
        <c:lblOffset val="100"/>
        <c:noMultiLvlLbl val="0"/>
      </c:catAx>
      <c:valAx>
        <c:axId val="114491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9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Error_PV!PivotTable17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E539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'Operator Error_PV'!$B$2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 Error_PV'!$A$3:$A$14</c:f>
              <c:strCache>
                <c:ptCount val="11"/>
                <c:pt idx="0">
                  <c:v>Batch change</c:v>
                </c:pt>
                <c:pt idx="1">
                  <c:v>Batch coding error</c:v>
                </c:pt>
                <c:pt idx="2">
                  <c:v>Calibration error</c:v>
                </c:pt>
                <c:pt idx="3">
                  <c:v>Conveyor belt jam</c:v>
                </c:pt>
                <c:pt idx="4">
                  <c:v>Inventory shortage</c:v>
                </c:pt>
                <c:pt idx="5">
                  <c:v>Label switch</c:v>
                </c:pt>
                <c:pt idx="6">
                  <c:v>Labeling error</c:v>
                </c:pt>
                <c:pt idx="7">
                  <c:v>Machine adjustment</c:v>
                </c:pt>
                <c:pt idx="8">
                  <c:v>Machine failure</c:v>
                </c:pt>
                <c:pt idx="9">
                  <c:v>Other</c:v>
                </c:pt>
                <c:pt idx="10">
                  <c:v>Product spill</c:v>
                </c:pt>
              </c:strCache>
            </c:strRef>
          </c:cat>
          <c:val>
            <c:numRef>
              <c:f>'Operator Error_PV'!$B$3:$B$14</c:f>
              <c:numCache>
                <c:formatCode>General</c:formatCode>
                <c:ptCount val="11"/>
                <c:pt idx="0">
                  <c:v>5</c:v>
                </c:pt>
                <c:pt idx="1">
                  <c:v>6</c:v>
                </c:pt>
                <c:pt idx="2">
                  <c:v>3</c:v>
                </c:pt>
                <c:pt idx="3">
                  <c:v>1</c:v>
                </c:pt>
                <c:pt idx="4">
                  <c:v>9</c:v>
                </c:pt>
                <c:pt idx="5">
                  <c:v>3</c:v>
                </c:pt>
                <c:pt idx="6">
                  <c:v>2</c:v>
                </c:pt>
                <c:pt idx="7">
                  <c:v>12</c:v>
                </c:pt>
                <c:pt idx="8">
                  <c:v>11</c:v>
                </c:pt>
                <c:pt idx="9">
                  <c:v>6</c:v>
                </c:pt>
                <c:pt idx="10">
                  <c:v>3</c:v>
                </c:pt>
              </c:numCache>
            </c:numRef>
          </c:val>
          <c:extLst>
            <c:ext xmlns:c16="http://schemas.microsoft.com/office/drawing/2014/chart" uri="{C3380CC4-5D6E-409C-BE32-E72D297353CC}">
              <c16:uniqueId val="{0000000C-D4F6-40BE-AD12-1B4C0FBD3DFF}"/>
            </c:ext>
          </c:extLst>
        </c:ser>
        <c:dLbls>
          <c:dLblPos val="outEnd"/>
          <c:showLegendKey val="0"/>
          <c:showVal val="1"/>
          <c:showCatName val="0"/>
          <c:showSerName val="0"/>
          <c:showPercent val="0"/>
          <c:showBubbleSize val="0"/>
        </c:dLbls>
        <c:gapWidth val="219"/>
        <c:overlap val="-27"/>
        <c:axId val="217597504"/>
        <c:axId val="1144916815"/>
      </c:barChart>
      <c:catAx>
        <c:axId val="21759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6815"/>
        <c:crosses val="autoZero"/>
        <c:auto val="1"/>
        <c:lblAlgn val="ctr"/>
        <c:lblOffset val="100"/>
        <c:noMultiLvlLbl val="0"/>
      </c:catAx>
      <c:valAx>
        <c:axId val="114491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59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Error_PV!PivotTable19</c:name>
    <c:fmtId val="0"/>
  </c:pivotSource>
  <c:chart>
    <c:autoTitleDeleted val="0"/>
    <c:pivotFmts>
      <c:pivotFmt>
        <c:idx val="0"/>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'Operator Error_PV'!$B$18:$B$19</c:f>
              <c:strCache>
                <c:ptCount val="1"/>
                <c:pt idx="0">
                  <c:v>No</c:v>
                </c:pt>
              </c:strCache>
            </c:strRef>
          </c:tx>
          <c:spPr>
            <a:solidFill>
              <a:srgbClr val="3A6EA5"/>
            </a:solidFill>
            <a:ln>
              <a:noFill/>
            </a:ln>
            <a:effectLst/>
          </c:spPr>
          <c:invertIfNegative val="0"/>
          <c:cat>
            <c:multiLvlStrRef>
              <c:f>'Operator Error_PV'!$A$20:$A$61</c:f>
              <c:multiLvlStrCache>
                <c:ptCount val="35"/>
                <c:lvl>
                  <c:pt idx="0">
                    <c:v>Batch coding error</c:v>
                  </c:pt>
                  <c:pt idx="1">
                    <c:v>Inventory shortage</c:v>
                  </c:pt>
                  <c:pt idx="2">
                    <c:v>Labeling error</c:v>
                  </c:pt>
                  <c:pt idx="3">
                    <c:v>Machine adjustment</c:v>
                  </c:pt>
                  <c:pt idx="4">
                    <c:v>Machine failure</c:v>
                  </c:pt>
                  <c:pt idx="5">
                    <c:v>Other</c:v>
                  </c:pt>
                  <c:pt idx="6">
                    <c:v>Batch change</c:v>
                  </c:pt>
                  <c:pt idx="7">
                    <c:v>Batch coding error</c:v>
                  </c:pt>
                  <c:pt idx="8">
                    <c:v>Calibration error</c:v>
                  </c:pt>
                  <c:pt idx="9">
                    <c:v>Conveyor belt jam</c:v>
                  </c:pt>
                  <c:pt idx="10">
                    <c:v>Inventory shortage</c:v>
                  </c:pt>
                  <c:pt idx="11">
                    <c:v>Label switch</c:v>
                  </c:pt>
                  <c:pt idx="12">
                    <c:v>Machine adjustment</c:v>
                  </c:pt>
                  <c:pt idx="13">
                    <c:v>Machine failure</c:v>
                  </c:pt>
                  <c:pt idx="14">
                    <c:v>Other</c:v>
                  </c:pt>
                  <c:pt idx="15">
                    <c:v>Product spill</c:v>
                  </c:pt>
                  <c:pt idx="16">
                    <c:v>Batch coding error</c:v>
                  </c:pt>
                  <c:pt idx="17">
                    <c:v>Inventory shortage</c:v>
                  </c:pt>
                  <c:pt idx="18">
                    <c:v>Machine failure</c:v>
                  </c:pt>
                  <c:pt idx="19">
                    <c:v>Other</c:v>
                  </c:pt>
                  <c:pt idx="20">
                    <c:v>Batch change</c:v>
                  </c:pt>
                  <c:pt idx="21">
                    <c:v>Batch coding error</c:v>
                  </c:pt>
                  <c:pt idx="22">
                    <c:v>Calibration error</c:v>
                  </c:pt>
                  <c:pt idx="23">
                    <c:v>Inventory shortage</c:v>
                  </c:pt>
                  <c:pt idx="24">
                    <c:v>Machine adjustment</c:v>
                  </c:pt>
                  <c:pt idx="25">
                    <c:v>Batch change</c:v>
                  </c:pt>
                  <c:pt idx="26">
                    <c:v>Machine failure</c:v>
                  </c:pt>
                  <c:pt idx="27">
                    <c:v>Batch coding error</c:v>
                  </c:pt>
                  <c:pt idx="28">
                    <c:v>Calibration error</c:v>
                  </c:pt>
                  <c:pt idx="29">
                    <c:v>Inventory shortage</c:v>
                  </c:pt>
                  <c:pt idx="30">
                    <c:v>Label switch</c:v>
                  </c:pt>
                  <c:pt idx="31">
                    <c:v>Labeling error</c:v>
                  </c:pt>
                  <c:pt idx="32">
                    <c:v>Machine adjustment</c:v>
                  </c:pt>
                  <c:pt idx="33">
                    <c:v>Machine failure</c:v>
                  </c:pt>
                  <c:pt idx="34">
                    <c:v>Other</c:v>
                  </c:pt>
                </c:lvl>
                <c:lvl>
                  <c:pt idx="0">
                    <c:v>CO-2L</c:v>
                  </c:pt>
                  <c:pt idx="6">
                    <c:v>CO-600</c:v>
                  </c:pt>
                  <c:pt idx="16">
                    <c:v>DC-600</c:v>
                  </c:pt>
                  <c:pt idx="20">
                    <c:v>LE-600</c:v>
                  </c:pt>
                  <c:pt idx="25">
                    <c:v>OR-600</c:v>
                  </c:pt>
                  <c:pt idx="27">
                    <c:v>RB-600</c:v>
                  </c:pt>
                </c:lvl>
              </c:multiLvlStrCache>
            </c:multiLvlStrRef>
          </c:cat>
          <c:val>
            <c:numRef>
              <c:f>'Operator Error_PV'!$B$20:$B$61</c:f>
              <c:numCache>
                <c:formatCode>General</c:formatCode>
                <c:ptCount val="35"/>
                <c:pt idx="1">
                  <c:v>2</c:v>
                </c:pt>
                <c:pt idx="2">
                  <c:v>1</c:v>
                </c:pt>
                <c:pt idx="4">
                  <c:v>2</c:v>
                </c:pt>
                <c:pt idx="5">
                  <c:v>1</c:v>
                </c:pt>
                <c:pt idx="9">
                  <c:v>1</c:v>
                </c:pt>
                <c:pt idx="10">
                  <c:v>4</c:v>
                </c:pt>
                <c:pt idx="13">
                  <c:v>5</c:v>
                </c:pt>
                <c:pt idx="14">
                  <c:v>3</c:v>
                </c:pt>
                <c:pt idx="17">
                  <c:v>1</c:v>
                </c:pt>
                <c:pt idx="18">
                  <c:v>2</c:v>
                </c:pt>
                <c:pt idx="19">
                  <c:v>1</c:v>
                </c:pt>
                <c:pt idx="23">
                  <c:v>1</c:v>
                </c:pt>
                <c:pt idx="26">
                  <c:v>1</c:v>
                </c:pt>
                <c:pt idx="29">
                  <c:v>1</c:v>
                </c:pt>
                <c:pt idx="31">
                  <c:v>1</c:v>
                </c:pt>
                <c:pt idx="33">
                  <c:v>1</c:v>
                </c:pt>
                <c:pt idx="34">
                  <c:v>1</c:v>
                </c:pt>
              </c:numCache>
            </c:numRef>
          </c:val>
          <c:extLst>
            <c:ext xmlns:c16="http://schemas.microsoft.com/office/drawing/2014/chart" uri="{C3380CC4-5D6E-409C-BE32-E72D297353CC}">
              <c16:uniqueId val="{00000000-C099-48F6-A163-86699FEA43FB}"/>
            </c:ext>
          </c:extLst>
        </c:ser>
        <c:ser>
          <c:idx val="1"/>
          <c:order val="1"/>
          <c:tx>
            <c:strRef>
              <c:f>'Operator Error_PV'!$C$18:$C$19</c:f>
              <c:strCache>
                <c:ptCount val="1"/>
                <c:pt idx="0">
                  <c:v>Yes</c:v>
                </c:pt>
              </c:strCache>
            </c:strRef>
          </c:tx>
          <c:spPr>
            <a:solidFill>
              <a:srgbClr val="FFB300"/>
            </a:solidFill>
            <a:ln>
              <a:noFill/>
            </a:ln>
            <a:effectLst/>
          </c:spPr>
          <c:invertIfNegative val="0"/>
          <c:cat>
            <c:multiLvlStrRef>
              <c:f>'Operator Error_PV'!$A$20:$A$61</c:f>
              <c:multiLvlStrCache>
                <c:ptCount val="35"/>
                <c:lvl>
                  <c:pt idx="0">
                    <c:v>Batch coding error</c:v>
                  </c:pt>
                  <c:pt idx="1">
                    <c:v>Inventory shortage</c:v>
                  </c:pt>
                  <c:pt idx="2">
                    <c:v>Labeling error</c:v>
                  </c:pt>
                  <c:pt idx="3">
                    <c:v>Machine adjustment</c:v>
                  </c:pt>
                  <c:pt idx="4">
                    <c:v>Machine failure</c:v>
                  </c:pt>
                  <c:pt idx="5">
                    <c:v>Other</c:v>
                  </c:pt>
                  <c:pt idx="6">
                    <c:v>Batch change</c:v>
                  </c:pt>
                  <c:pt idx="7">
                    <c:v>Batch coding error</c:v>
                  </c:pt>
                  <c:pt idx="8">
                    <c:v>Calibration error</c:v>
                  </c:pt>
                  <c:pt idx="9">
                    <c:v>Conveyor belt jam</c:v>
                  </c:pt>
                  <c:pt idx="10">
                    <c:v>Inventory shortage</c:v>
                  </c:pt>
                  <c:pt idx="11">
                    <c:v>Label switch</c:v>
                  </c:pt>
                  <c:pt idx="12">
                    <c:v>Machine adjustment</c:v>
                  </c:pt>
                  <c:pt idx="13">
                    <c:v>Machine failure</c:v>
                  </c:pt>
                  <c:pt idx="14">
                    <c:v>Other</c:v>
                  </c:pt>
                  <c:pt idx="15">
                    <c:v>Product spill</c:v>
                  </c:pt>
                  <c:pt idx="16">
                    <c:v>Batch coding error</c:v>
                  </c:pt>
                  <c:pt idx="17">
                    <c:v>Inventory shortage</c:v>
                  </c:pt>
                  <c:pt idx="18">
                    <c:v>Machine failure</c:v>
                  </c:pt>
                  <c:pt idx="19">
                    <c:v>Other</c:v>
                  </c:pt>
                  <c:pt idx="20">
                    <c:v>Batch change</c:v>
                  </c:pt>
                  <c:pt idx="21">
                    <c:v>Batch coding error</c:v>
                  </c:pt>
                  <c:pt idx="22">
                    <c:v>Calibration error</c:v>
                  </c:pt>
                  <c:pt idx="23">
                    <c:v>Inventory shortage</c:v>
                  </c:pt>
                  <c:pt idx="24">
                    <c:v>Machine adjustment</c:v>
                  </c:pt>
                  <c:pt idx="25">
                    <c:v>Batch change</c:v>
                  </c:pt>
                  <c:pt idx="26">
                    <c:v>Machine failure</c:v>
                  </c:pt>
                  <c:pt idx="27">
                    <c:v>Batch coding error</c:v>
                  </c:pt>
                  <c:pt idx="28">
                    <c:v>Calibration error</c:v>
                  </c:pt>
                  <c:pt idx="29">
                    <c:v>Inventory shortage</c:v>
                  </c:pt>
                  <c:pt idx="30">
                    <c:v>Label switch</c:v>
                  </c:pt>
                  <c:pt idx="31">
                    <c:v>Labeling error</c:v>
                  </c:pt>
                  <c:pt idx="32">
                    <c:v>Machine adjustment</c:v>
                  </c:pt>
                  <c:pt idx="33">
                    <c:v>Machine failure</c:v>
                  </c:pt>
                  <c:pt idx="34">
                    <c:v>Other</c:v>
                  </c:pt>
                </c:lvl>
                <c:lvl>
                  <c:pt idx="0">
                    <c:v>CO-2L</c:v>
                  </c:pt>
                  <c:pt idx="6">
                    <c:v>CO-600</c:v>
                  </c:pt>
                  <c:pt idx="16">
                    <c:v>DC-600</c:v>
                  </c:pt>
                  <c:pt idx="20">
                    <c:v>LE-600</c:v>
                  </c:pt>
                  <c:pt idx="25">
                    <c:v>OR-600</c:v>
                  </c:pt>
                  <c:pt idx="27">
                    <c:v>RB-600</c:v>
                  </c:pt>
                </c:lvl>
              </c:multiLvlStrCache>
            </c:multiLvlStrRef>
          </c:cat>
          <c:val>
            <c:numRef>
              <c:f>'Operator Error_PV'!$C$20:$C$61</c:f>
              <c:numCache>
                <c:formatCode>General</c:formatCode>
                <c:ptCount val="35"/>
                <c:pt idx="0">
                  <c:v>2</c:v>
                </c:pt>
                <c:pt idx="3">
                  <c:v>3</c:v>
                </c:pt>
                <c:pt idx="6">
                  <c:v>1</c:v>
                </c:pt>
                <c:pt idx="7">
                  <c:v>1</c:v>
                </c:pt>
                <c:pt idx="8">
                  <c:v>1</c:v>
                </c:pt>
                <c:pt idx="11">
                  <c:v>2</c:v>
                </c:pt>
                <c:pt idx="12">
                  <c:v>3</c:v>
                </c:pt>
                <c:pt idx="15">
                  <c:v>3</c:v>
                </c:pt>
                <c:pt idx="16">
                  <c:v>1</c:v>
                </c:pt>
                <c:pt idx="20">
                  <c:v>3</c:v>
                </c:pt>
                <c:pt idx="21">
                  <c:v>1</c:v>
                </c:pt>
                <c:pt idx="22">
                  <c:v>1</c:v>
                </c:pt>
                <c:pt idx="24">
                  <c:v>2</c:v>
                </c:pt>
                <c:pt idx="25">
                  <c:v>1</c:v>
                </c:pt>
                <c:pt idx="27">
                  <c:v>1</c:v>
                </c:pt>
                <c:pt idx="28">
                  <c:v>1</c:v>
                </c:pt>
                <c:pt idx="30">
                  <c:v>1</c:v>
                </c:pt>
                <c:pt idx="32">
                  <c:v>4</c:v>
                </c:pt>
              </c:numCache>
            </c:numRef>
          </c:val>
          <c:extLst>
            <c:ext xmlns:c16="http://schemas.microsoft.com/office/drawing/2014/chart" uri="{C3380CC4-5D6E-409C-BE32-E72D297353CC}">
              <c16:uniqueId val="{00000004-90DE-4357-9A8E-85F0755E1A9E}"/>
            </c:ext>
          </c:extLst>
        </c:ser>
        <c:dLbls>
          <c:showLegendKey val="0"/>
          <c:showVal val="0"/>
          <c:showCatName val="0"/>
          <c:showSerName val="0"/>
          <c:showPercent val="0"/>
          <c:showBubbleSize val="0"/>
        </c:dLbls>
        <c:gapWidth val="219"/>
        <c:overlap val="-27"/>
        <c:axId val="1575383615"/>
        <c:axId val="1144906735"/>
      </c:barChart>
      <c:catAx>
        <c:axId val="157538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06735"/>
        <c:crosses val="autoZero"/>
        <c:auto val="1"/>
        <c:lblAlgn val="ctr"/>
        <c:lblOffset val="100"/>
        <c:noMultiLvlLbl val="0"/>
      </c:catAx>
      <c:valAx>
        <c:axId val="1144906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38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Error_PV!PivotTable21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'Operator Error_PV'!$B$65:$B$66</c:f>
              <c:strCache>
                <c:ptCount val="1"/>
                <c:pt idx="0">
                  <c:v>No</c:v>
                </c:pt>
              </c:strCache>
            </c:strRef>
          </c:tx>
          <c:spPr>
            <a:solidFill>
              <a:schemeClr val="accent1"/>
            </a:solidFill>
            <a:ln>
              <a:noFill/>
            </a:ln>
            <a:effectLst/>
          </c:spPr>
          <c:invertIfNegative val="0"/>
          <c:cat>
            <c:multiLvlStrRef>
              <c:f>'Operator Error_PV'!$A$67:$A$104</c:f>
              <c:multiLvlStrCache>
                <c:ptCount val="33"/>
                <c:lvl>
                  <c:pt idx="0">
                    <c:v>Batch change</c:v>
                  </c:pt>
                  <c:pt idx="1">
                    <c:v>Batch coding error</c:v>
                  </c:pt>
                  <c:pt idx="2">
                    <c:v>Calibration error</c:v>
                  </c:pt>
                  <c:pt idx="3">
                    <c:v>Inventory shortage</c:v>
                  </c:pt>
                  <c:pt idx="4">
                    <c:v>Label switch</c:v>
                  </c:pt>
                  <c:pt idx="5">
                    <c:v>Labeling error</c:v>
                  </c:pt>
                  <c:pt idx="6">
                    <c:v>Machine adjustment</c:v>
                  </c:pt>
                  <c:pt idx="7">
                    <c:v>Machine failure</c:v>
                  </c:pt>
                  <c:pt idx="8">
                    <c:v>Other</c:v>
                  </c:pt>
                  <c:pt idx="9">
                    <c:v>Product spill</c:v>
                  </c:pt>
                  <c:pt idx="10">
                    <c:v>Batch change</c:v>
                  </c:pt>
                  <c:pt idx="11">
                    <c:v>Batch coding error</c:v>
                  </c:pt>
                  <c:pt idx="12">
                    <c:v>Calibration error</c:v>
                  </c:pt>
                  <c:pt idx="13">
                    <c:v>Conveyor belt jam</c:v>
                  </c:pt>
                  <c:pt idx="14">
                    <c:v>Inventory shortage</c:v>
                  </c:pt>
                  <c:pt idx="15">
                    <c:v>Label switch</c:v>
                  </c:pt>
                  <c:pt idx="16">
                    <c:v>Labeling error</c:v>
                  </c:pt>
                  <c:pt idx="17">
                    <c:v>Machine adjustment</c:v>
                  </c:pt>
                  <c:pt idx="18">
                    <c:v>Machine failure</c:v>
                  </c:pt>
                  <c:pt idx="19">
                    <c:v>Other</c:v>
                  </c:pt>
                  <c:pt idx="20">
                    <c:v>Product spill</c:v>
                  </c:pt>
                  <c:pt idx="21">
                    <c:v>Batch coding error</c:v>
                  </c:pt>
                  <c:pt idx="22">
                    <c:v>Inventory shortage</c:v>
                  </c:pt>
                  <c:pt idx="23">
                    <c:v>Machine adjustment</c:v>
                  </c:pt>
                  <c:pt idx="24">
                    <c:v>Machine failure</c:v>
                  </c:pt>
                  <c:pt idx="25">
                    <c:v>Other</c:v>
                  </c:pt>
                  <c:pt idx="26">
                    <c:v>Product spill</c:v>
                  </c:pt>
                  <c:pt idx="27">
                    <c:v>Batch change</c:v>
                  </c:pt>
                  <c:pt idx="28">
                    <c:v>Batch coding error</c:v>
                  </c:pt>
                  <c:pt idx="29">
                    <c:v>Inventory shortage</c:v>
                  </c:pt>
                  <c:pt idx="30">
                    <c:v>Machine adjustment</c:v>
                  </c:pt>
                  <c:pt idx="31">
                    <c:v>Machine failure</c:v>
                  </c:pt>
                  <c:pt idx="32">
                    <c:v>Other</c:v>
                  </c:pt>
                </c:lvl>
                <c:lvl>
                  <c:pt idx="0">
                    <c:v>Charlie</c:v>
                  </c:pt>
                  <c:pt idx="10">
                    <c:v>Dee</c:v>
                  </c:pt>
                  <c:pt idx="21">
                    <c:v>Dennis</c:v>
                  </c:pt>
                  <c:pt idx="27">
                    <c:v>Mac</c:v>
                  </c:pt>
                </c:lvl>
              </c:multiLvlStrCache>
            </c:multiLvlStrRef>
          </c:cat>
          <c:val>
            <c:numRef>
              <c:f>'Operator Error_PV'!$B$67:$B$104</c:f>
              <c:numCache>
                <c:formatCode>General</c:formatCode>
                <c:ptCount val="33"/>
                <c:pt idx="3">
                  <c:v>1</c:v>
                </c:pt>
                <c:pt idx="5">
                  <c:v>1</c:v>
                </c:pt>
                <c:pt idx="7">
                  <c:v>3</c:v>
                </c:pt>
                <c:pt idx="8">
                  <c:v>3</c:v>
                </c:pt>
                <c:pt idx="13">
                  <c:v>1</c:v>
                </c:pt>
                <c:pt idx="14">
                  <c:v>4</c:v>
                </c:pt>
                <c:pt idx="16">
                  <c:v>1</c:v>
                </c:pt>
                <c:pt idx="18">
                  <c:v>2</c:v>
                </c:pt>
                <c:pt idx="19">
                  <c:v>1</c:v>
                </c:pt>
                <c:pt idx="22">
                  <c:v>1</c:v>
                </c:pt>
                <c:pt idx="24">
                  <c:v>4</c:v>
                </c:pt>
                <c:pt idx="25">
                  <c:v>1</c:v>
                </c:pt>
                <c:pt idx="29">
                  <c:v>3</c:v>
                </c:pt>
                <c:pt idx="31">
                  <c:v>2</c:v>
                </c:pt>
                <c:pt idx="32">
                  <c:v>1</c:v>
                </c:pt>
              </c:numCache>
            </c:numRef>
          </c:val>
          <c:extLst>
            <c:ext xmlns:c16="http://schemas.microsoft.com/office/drawing/2014/chart" uri="{C3380CC4-5D6E-409C-BE32-E72D297353CC}">
              <c16:uniqueId val="{00000000-C7CC-4FB8-B82C-76A94B121F2C}"/>
            </c:ext>
          </c:extLst>
        </c:ser>
        <c:ser>
          <c:idx val="1"/>
          <c:order val="1"/>
          <c:tx>
            <c:strRef>
              <c:f>'Operator Error_PV'!$C$65:$C$66</c:f>
              <c:strCache>
                <c:ptCount val="1"/>
                <c:pt idx="0">
                  <c:v>Yes</c:v>
                </c:pt>
              </c:strCache>
            </c:strRef>
          </c:tx>
          <c:spPr>
            <a:solidFill>
              <a:schemeClr val="accent2"/>
            </a:solidFill>
            <a:ln>
              <a:noFill/>
            </a:ln>
            <a:effectLst/>
          </c:spPr>
          <c:invertIfNegative val="0"/>
          <c:cat>
            <c:multiLvlStrRef>
              <c:f>'Operator Error_PV'!$A$67:$A$104</c:f>
              <c:multiLvlStrCache>
                <c:ptCount val="33"/>
                <c:lvl>
                  <c:pt idx="0">
                    <c:v>Batch change</c:v>
                  </c:pt>
                  <c:pt idx="1">
                    <c:v>Batch coding error</c:v>
                  </c:pt>
                  <c:pt idx="2">
                    <c:v>Calibration error</c:v>
                  </c:pt>
                  <c:pt idx="3">
                    <c:v>Inventory shortage</c:v>
                  </c:pt>
                  <c:pt idx="4">
                    <c:v>Label switch</c:v>
                  </c:pt>
                  <c:pt idx="5">
                    <c:v>Labeling error</c:v>
                  </c:pt>
                  <c:pt idx="6">
                    <c:v>Machine adjustment</c:v>
                  </c:pt>
                  <c:pt idx="7">
                    <c:v>Machine failure</c:v>
                  </c:pt>
                  <c:pt idx="8">
                    <c:v>Other</c:v>
                  </c:pt>
                  <c:pt idx="9">
                    <c:v>Product spill</c:v>
                  </c:pt>
                  <c:pt idx="10">
                    <c:v>Batch change</c:v>
                  </c:pt>
                  <c:pt idx="11">
                    <c:v>Batch coding error</c:v>
                  </c:pt>
                  <c:pt idx="12">
                    <c:v>Calibration error</c:v>
                  </c:pt>
                  <c:pt idx="13">
                    <c:v>Conveyor belt jam</c:v>
                  </c:pt>
                  <c:pt idx="14">
                    <c:v>Inventory shortage</c:v>
                  </c:pt>
                  <c:pt idx="15">
                    <c:v>Label switch</c:v>
                  </c:pt>
                  <c:pt idx="16">
                    <c:v>Labeling error</c:v>
                  </c:pt>
                  <c:pt idx="17">
                    <c:v>Machine adjustment</c:v>
                  </c:pt>
                  <c:pt idx="18">
                    <c:v>Machine failure</c:v>
                  </c:pt>
                  <c:pt idx="19">
                    <c:v>Other</c:v>
                  </c:pt>
                  <c:pt idx="20">
                    <c:v>Product spill</c:v>
                  </c:pt>
                  <c:pt idx="21">
                    <c:v>Batch coding error</c:v>
                  </c:pt>
                  <c:pt idx="22">
                    <c:v>Inventory shortage</c:v>
                  </c:pt>
                  <c:pt idx="23">
                    <c:v>Machine adjustment</c:v>
                  </c:pt>
                  <c:pt idx="24">
                    <c:v>Machine failure</c:v>
                  </c:pt>
                  <c:pt idx="25">
                    <c:v>Other</c:v>
                  </c:pt>
                  <c:pt idx="26">
                    <c:v>Product spill</c:v>
                  </c:pt>
                  <c:pt idx="27">
                    <c:v>Batch change</c:v>
                  </c:pt>
                  <c:pt idx="28">
                    <c:v>Batch coding error</c:v>
                  </c:pt>
                  <c:pt idx="29">
                    <c:v>Inventory shortage</c:v>
                  </c:pt>
                  <c:pt idx="30">
                    <c:v>Machine adjustment</c:v>
                  </c:pt>
                  <c:pt idx="31">
                    <c:v>Machine failure</c:v>
                  </c:pt>
                  <c:pt idx="32">
                    <c:v>Other</c:v>
                  </c:pt>
                </c:lvl>
                <c:lvl>
                  <c:pt idx="0">
                    <c:v>Charlie</c:v>
                  </c:pt>
                  <c:pt idx="10">
                    <c:v>Dee</c:v>
                  </c:pt>
                  <c:pt idx="21">
                    <c:v>Dennis</c:v>
                  </c:pt>
                  <c:pt idx="27">
                    <c:v>Mac</c:v>
                  </c:pt>
                </c:lvl>
              </c:multiLvlStrCache>
            </c:multiLvlStrRef>
          </c:cat>
          <c:val>
            <c:numRef>
              <c:f>'Operator Error_PV'!$C$67:$C$104</c:f>
              <c:numCache>
                <c:formatCode>General</c:formatCode>
                <c:ptCount val="33"/>
                <c:pt idx="0">
                  <c:v>1</c:v>
                </c:pt>
                <c:pt idx="1">
                  <c:v>1</c:v>
                </c:pt>
                <c:pt idx="2">
                  <c:v>1</c:v>
                </c:pt>
                <c:pt idx="4">
                  <c:v>1</c:v>
                </c:pt>
                <c:pt idx="6">
                  <c:v>4</c:v>
                </c:pt>
                <c:pt idx="9">
                  <c:v>1</c:v>
                </c:pt>
                <c:pt idx="10">
                  <c:v>1</c:v>
                </c:pt>
                <c:pt idx="11">
                  <c:v>1</c:v>
                </c:pt>
                <c:pt idx="12">
                  <c:v>2</c:v>
                </c:pt>
                <c:pt idx="15">
                  <c:v>2</c:v>
                </c:pt>
                <c:pt idx="17">
                  <c:v>3</c:v>
                </c:pt>
                <c:pt idx="20">
                  <c:v>1</c:v>
                </c:pt>
                <c:pt idx="21">
                  <c:v>1</c:v>
                </c:pt>
                <c:pt idx="23">
                  <c:v>4</c:v>
                </c:pt>
                <c:pt idx="26">
                  <c:v>1</c:v>
                </c:pt>
                <c:pt idx="27">
                  <c:v>3</c:v>
                </c:pt>
                <c:pt idx="28">
                  <c:v>3</c:v>
                </c:pt>
                <c:pt idx="30">
                  <c:v>1</c:v>
                </c:pt>
              </c:numCache>
            </c:numRef>
          </c:val>
          <c:extLst>
            <c:ext xmlns:c16="http://schemas.microsoft.com/office/drawing/2014/chart" uri="{C3380CC4-5D6E-409C-BE32-E72D297353CC}">
              <c16:uniqueId val="{00000004-2563-4366-AEC9-D6DE494C4699}"/>
            </c:ext>
          </c:extLst>
        </c:ser>
        <c:dLbls>
          <c:showLegendKey val="0"/>
          <c:showVal val="0"/>
          <c:showCatName val="0"/>
          <c:showSerName val="0"/>
          <c:showPercent val="0"/>
          <c:showBubbleSize val="0"/>
        </c:dLbls>
        <c:gapWidth val="219"/>
        <c:overlap val="-27"/>
        <c:axId val="1505962719"/>
        <c:axId val="1144913935"/>
      </c:barChart>
      <c:catAx>
        <c:axId val="150596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13935"/>
        <c:crosses val="autoZero"/>
        <c:auto val="1"/>
        <c:lblAlgn val="ctr"/>
        <c:lblOffset val="100"/>
        <c:noMultiLvlLbl val="0"/>
      </c:catAx>
      <c:valAx>
        <c:axId val="1144913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96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Product PV!PivotTable16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Operator</a:t>
            </a:r>
            <a:r>
              <a:rPr lang="en-MY" baseline="0"/>
              <a:t> Error</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'Operator Product PV'!$B$3:$B$4</c:f>
              <c:strCache>
                <c:ptCount val="1"/>
                <c:pt idx="0">
                  <c:v>No</c:v>
                </c:pt>
              </c:strCache>
            </c:strRef>
          </c:tx>
          <c:spPr>
            <a:solidFill>
              <a:srgbClr val="3A6EA5"/>
            </a:solidFill>
            <a:ln>
              <a:noFill/>
            </a:ln>
            <a:effectLst/>
          </c:spPr>
          <c:invertIfNegative val="0"/>
          <c:cat>
            <c:strRef>
              <c:f>'Operator Product PV'!$A$5:$A$9</c:f>
              <c:strCache>
                <c:ptCount val="4"/>
                <c:pt idx="0">
                  <c:v>Charlie</c:v>
                </c:pt>
                <c:pt idx="1">
                  <c:v>Dee</c:v>
                </c:pt>
                <c:pt idx="2">
                  <c:v>Dennis</c:v>
                </c:pt>
                <c:pt idx="3">
                  <c:v>Mac</c:v>
                </c:pt>
              </c:strCache>
            </c:strRef>
          </c:cat>
          <c:val>
            <c:numRef>
              <c:f>'Operator Product PV'!$B$5:$B$9</c:f>
              <c:numCache>
                <c:formatCode>General</c:formatCode>
                <c:ptCount val="4"/>
                <c:pt idx="0">
                  <c:v>8</c:v>
                </c:pt>
                <c:pt idx="1">
                  <c:v>9</c:v>
                </c:pt>
                <c:pt idx="2">
                  <c:v>6</c:v>
                </c:pt>
                <c:pt idx="3">
                  <c:v>6</c:v>
                </c:pt>
              </c:numCache>
            </c:numRef>
          </c:val>
          <c:extLst>
            <c:ext xmlns:c16="http://schemas.microsoft.com/office/drawing/2014/chart" uri="{C3380CC4-5D6E-409C-BE32-E72D297353CC}">
              <c16:uniqueId val="{00000000-6EA3-4A9E-83CF-540E9081532D}"/>
            </c:ext>
          </c:extLst>
        </c:ser>
        <c:ser>
          <c:idx val="1"/>
          <c:order val="1"/>
          <c:tx>
            <c:strRef>
              <c:f>'Operator Product PV'!$C$3:$C$4</c:f>
              <c:strCache>
                <c:ptCount val="1"/>
                <c:pt idx="0">
                  <c:v>Yes</c:v>
                </c:pt>
              </c:strCache>
            </c:strRef>
          </c:tx>
          <c:spPr>
            <a:solidFill>
              <a:srgbClr val="FFB300"/>
            </a:solidFill>
            <a:ln>
              <a:noFill/>
            </a:ln>
            <a:effectLst/>
          </c:spPr>
          <c:invertIfNegative val="0"/>
          <c:cat>
            <c:strRef>
              <c:f>'Operator Product PV'!$A$5:$A$9</c:f>
              <c:strCache>
                <c:ptCount val="4"/>
                <c:pt idx="0">
                  <c:v>Charlie</c:v>
                </c:pt>
                <c:pt idx="1">
                  <c:v>Dee</c:v>
                </c:pt>
                <c:pt idx="2">
                  <c:v>Dennis</c:v>
                </c:pt>
                <c:pt idx="3">
                  <c:v>Mac</c:v>
                </c:pt>
              </c:strCache>
            </c:strRef>
          </c:cat>
          <c:val>
            <c:numRef>
              <c:f>'Operator Product PV'!$C$5:$C$9</c:f>
              <c:numCache>
                <c:formatCode>General</c:formatCode>
                <c:ptCount val="4"/>
                <c:pt idx="0">
                  <c:v>9</c:v>
                </c:pt>
                <c:pt idx="1">
                  <c:v>10</c:v>
                </c:pt>
                <c:pt idx="2">
                  <c:v>6</c:v>
                </c:pt>
                <c:pt idx="3">
                  <c:v>7</c:v>
                </c:pt>
              </c:numCache>
            </c:numRef>
          </c:val>
          <c:extLst>
            <c:ext xmlns:c16="http://schemas.microsoft.com/office/drawing/2014/chart" uri="{C3380CC4-5D6E-409C-BE32-E72D297353CC}">
              <c16:uniqueId val="{00000004-5FF0-403D-B3A4-97AE1BE929A8}"/>
            </c:ext>
          </c:extLst>
        </c:ser>
        <c:dLbls>
          <c:showLegendKey val="0"/>
          <c:showVal val="0"/>
          <c:showCatName val="0"/>
          <c:showSerName val="0"/>
          <c:showPercent val="0"/>
          <c:showBubbleSize val="0"/>
        </c:dLbls>
        <c:gapWidth val="182"/>
        <c:axId val="1609550608"/>
        <c:axId val="1144830895"/>
      </c:barChart>
      <c:catAx>
        <c:axId val="1609550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30895"/>
        <c:crosses val="autoZero"/>
        <c:auto val="1"/>
        <c:lblAlgn val="ctr"/>
        <c:lblOffset val="100"/>
        <c:noMultiLvlLbl val="0"/>
      </c:catAx>
      <c:valAx>
        <c:axId val="1144830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55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Manufacturing_Line_Productivity.xlsx]Operator Product PV!PivotTable20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'Operator Product PV'!$B$24</c:f>
              <c:strCache>
                <c:ptCount val="1"/>
                <c:pt idx="0">
                  <c:v>Total</c:v>
                </c:pt>
              </c:strCache>
            </c:strRef>
          </c:tx>
          <c:spPr>
            <a:solidFill>
              <a:schemeClr val="accent1"/>
            </a:solidFill>
            <a:ln>
              <a:noFill/>
            </a:ln>
            <a:effectLst/>
          </c:spPr>
          <c:invertIfNegative val="0"/>
          <c:cat>
            <c:multiLvlStrRef>
              <c:f>'Operator Product PV'!$A$25:$A$42</c:f>
              <c:multiLvlStrCache>
                <c:ptCount val="13"/>
                <c:lvl>
                  <c:pt idx="0">
                    <c:v>CO-2L</c:v>
                  </c:pt>
                  <c:pt idx="1">
                    <c:v>CO-600</c:v>
                  </c:pt>
                  <c:pt idx="2">
                    <c:v>LE-600</c:v>
                  </c:pt>
                  <c:pt idx="3">
                    <c:v>CO-600</c:v>
                  </c:pt>
                  <c:pt idx="4">
                    <c:v>DC-600</c:v>
                  </c:pt>
                  <c:pt idx="5">
                    <c:v>RB-600</c:v>
                  </c:pt>
                  <c:pt idx="6">
                    <c:v>CO-2L</c:v>
                  </c:pt>
                  <c:pt idx="7">
                    <c:v>CO-600</c:v>
                  </c:pt>
                  <c:pt idx="8">
                    <c:v>RB-600</c:v>
                  </c:pt>
                  <c:pt idx="9">
                    <c:v>CO-2L</c:v>
                  </c:pt>
                  <c:pt idx="10">
                    <c:v>DC-600</c:v>
                  </c:pt>
                  <c:pt idx="11">
                    <c:v>LE-600</c:v>
                  </c:pt>
                  <c:pt idx="12">
                    <c:v>OR-600</c:v>
                  </c:pt>
                </c:lvl>
                <c:lvl>
                  <c:pt idx="0">
                    <c:v>Charlie</c:v>
                  </c:pt>
                  <c:pt idx="3">
                    <c:v>Dee</c:v>
                  </c:pt>
                  <c:pt idx="6">
                    <c:v>Dennis</c:v>
                  </c:pt>
                  <c:pt idx="9">
                    <c:v>Mac</c:v>
                  </c:pt>
                </c:lvl>
              </c:multiLvlStrCache>
            </c:multiLvlStrRef>
          </c:cat>
          <c:val>
            <c:numRef>
              <c:f>'Operator Product PV'!$B$25:$B$42</c:f>
              <c:numCache>
                <c:formatCode>General</c:formatCode>
                <c:ptCount val="13"/>
                <c:pt idx="0">
                  <c:v>7</c:v>
                </c:pt>
                <c:pt idx="1">
                  <c:v>7</c:v>
                </c:pt>
                <c:pt idx="2">
                  <c:v>3</c:v>
                </c:pt>
                <c:pt idx="3">
                  <c:v>11</c:v>
                </c:pt>
                <c:pt idx="4">
                  <c:v>1</c:v>
                </c:pt>
                <c:pt idx="5">
                  <c:v>7</c:v>
                </c:pt>
                <c:pt idx="6">
                  <c:v>2</c:v>
                </c:pt>
                <c:pt idx="7">
                  <c:v>6</c:v>
                </c:pt>
                <c:pt idx="8">
                  <c:v>4</c:v>
                </c:pt>
                <c:pt idx="9">
                  <c:v>2</c:v>
                </c:pt>
                <c:pt idx="10">
                  <c:v>4</c:v>
                </c:pt>
                <c:pt idx="11">
                  <c:v>5</c:v>
                </c:pt>
                <c:pt idx="12">
                  <c:v>2</c:v>
                </c:pt>
              </c:numCache>
            </c:numRef>
          </c:val>
          <c:extLst>
            <c:ext xmlns:c16="http://schemas.microsoft.com/office/drawing/2014/chart" uri="{C3380CC4-5D6E-409C-BE32-E72D297353CC}">
              <c16:uniqueId val="{00000000-B498-41DE-8CEA-0D47728D5FEA}"/>
            </c:ext>
          </c:extLst>
        </c:ser>
        <c:dLbls>
          <c:showLegendKey val="0"/>
          <c:showVal val="0"/>
          <c:showCatName val="0"/>
          <c:showSerName val="0"/>
          <c:showPercent val="0"/>
          <c:showBubbleSize val="0"/>
        </c:dLbls>
        <c:gapWidth val="182"/>
        <c:axId val="1505854607"/>
        <c:axId val="1144860655"/>
      </c:barChart>
      <c:catAx>
        <c:axId val="1505854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60655"/>
        <c:crosses val="autoZero"/>
        <c:auto val="1"/>
        <c:lblAlgn val="ctr"/>
        <c:lblOffset val="100"/>
        <c:noMultiLvlLbl val="0"/>
      </c:catAx>
      <c:valAx>
        <c:axId val="114486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85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Manufacturing_Line_Productivity.xlsx]Efficiency PV!PivotTable13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Product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A6E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B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layout>
            <c:manualLayout>
              <c:x val="-1.0799808429118818E-2"/>
              <c:y val="-5.7835739282589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A6EA5"/>
          </a:solidFill>
          <a:ln>
            <a:noFill/>
          </a:ln>
          <a:effectLst/>
        </c:spPr>
      </c:pivotFmt>
    </c:pivotFmts>
    <c:plotArea>
      <c:layout/>
      <c:barChart>
        <c:barDir val="col"/>
        <c:grouping val="clustered"/>
        <c:varyColors val="0"/>
        <c:ser>
          <c:idx val="0"/>
          <c:order val="0"/>
          <c:tx>
            <c:strRef>
              <c:f>'Efficiency PV'!$B$3</c:f>
              <c:strCache>
                <c:ptCount val="1"/>
                <c:pt idx="0">
                  <c:v>Sum of Total Minutes</c:v>
                </c:pt>
              </c:strCache>
            </c:strRef>
          </c:tx>
          <c:spPr>
            <a:solidFill>
              <a:srgbClr val="3A6EA5"/>
            </a:solidFill>
            <a:ln>
              <a:noFill/>
            </a:ln>
            <a:effectLst/>
          </c:spPr>
          <c:invertIfNegative val="0"/>
          <c:cat>
            <c:strRef>
              <c:f>'Efficiency PV'!$A$4:$A$10</c:f>
              <c:strCache>
                <c:ptCount val="6"/>
                <c:pt idx="0">
                  <c:v>CO-2L</c:v>
                </c:pt>
                <c:pt idx="1">
                  <c:v>CO-600</c:v>
                </c:pt>
                <c:pt idx="2">
                  <c:v>DC-600</c:v>
                </c:pt>
                <c:pt idx="3">
                  <c:v>LE-600</c:v>
                </c:pt>
                <c:pt idx="4">
                  <c:v>OR-600</c:v>
                </c:pt>
                <c:pt idx="5">
                  <c:v>RB-600</c:v>
                </c:pt>
              </c:strCache>
            </c:strRef>
          </c:cat>
          <c:val>
            <c:numRef>
              <c:f>'Efficiency PV'!$B$4:$B$10</c:f>
              <c:numCache>
                <c:formatCode>General</c:formatCode>
                <c:ptCount val="6"/>
                <c:pt idx="0">
                  <c:v>767</c:v>
                </c:pt>
                <c:pt idx="1">
                  <c:v>1394</c:v>
                </c:pt>
                <c:pt idx="2">
                  <c:v>355</c:v>
                </c:pt>
                <c:pt idx="3">
                  <c:v>529</c:v>
                </c:pt>
                <c:pt idx="4">
                  <c:v>135</c:v>
                </c:pt>
                <c:pt idx="5">
                  <c:v>678</c:v>
                </c:pt>
              </c:numCache>
            </c:numRef>
          </c:val>
          <c:extLst>
            <c:ext xmlns:c16="http://schemas.microsoft.com/office/drawing/2014/chart" uri="{C3380CC4-5D6E-409C-BE32-E72D297353CC}">
              <c16:uniqueId val="{00000000-8404-41DF-80A0-79A47DEECEA7}"/>
            </c:ext>
          </c:extLst>
        </c:ser>
        <c:ser>
          <c:idx val="1"/>
          <c:order val="1"/>
          <c:tx>
            <c:strRef>
              <c:f>'Efficiency PV'!$C$3</c:f>
              <c:strCache>
                <c:ptCount val="1"/>
                <c:pt idx="0">
                  <c:v>Sum of Min batch time</c:v>
                </c:pt>
              </c:strCache>
            </c:strRef>
          </c:tx>
          <c:spPr>
            <a:solidFill>
              <a:srgbClr val="FFB300"/>
            </a:solidFill>
            <a:ln>
              <a:noFill/>
            </a:ln>
            <a:effectLst/>
          </c:spPr>
          <c:invertIfNegative val="0"/>
          <c:cat>
            <c:strRef>
              <c:f>'Efficiency PV'!$A$4:$A$10</c:f>
              <c:strCache>
                <c:ptCount val="6"/>
                <c:pt idx="0">
                  <c:v>CO-2L</c:v>
                </c:pt>
                <c:pt idx="1">
                  <c:v>CO-600</c:v>
                </c:pt>
                <c:pt idx="2">
                  <c:v>DC-600</c:v>
                </c:pt>
                <c:pt idx="3">
                  <c:v>LE-600</c:v>
                </c:pt>
                <c:pt idx="4">
                  <c:v>OR-600</c:v>
                </c:pt>
                <c:pt idx="5">
                  <c:v>RB-600</c:v>
                </c:pt>
              </c:strCache>
            </c:strRef>
          </c:cat>
          <c:val>
            <c:numRef>
              <c:f>'Efficiency PV'!$C$4:$C$10</c:f>
              <c:numCache>
                <c:formatCode>General</c:formatCode>
                <c:ptCount val="6"/>
                <c:pt idx="0">
                  <c:v>490</c:v>
                </c:pt>
                <c:pt idx="1">
                  <c:v>900</c:v>
                </c:pt>
                <c:pt idx="2">
                  <c:v>240</c:v>
                </c:pt>
                <c:pt idx="3">
                  <c:v>360</c:v>
                </c:pt>
                <c:pt idx="4">
                  <c:v>60</c:v>
                </c:pt>
                <c:pt idx="5">
                  <c:v>420</c:v>
                </c:pt>
              </c:numCache>
            </c:numRef>
          </c:val>
          <c:extLst>
            <c:ext xmlns:c16="http://schemas.microsoft.com/office/drawing/2014/chart" uri="{C3380CC4-5D6E-409C-BE32-E72D297353CC}">
              <c16:uniqueId val="{00000001-8404-41DF-80A0-79A47DEECEA7}"/>
            </c:ext>
          </c:extLst>
        </c:ser>
        <c:dLbls>
          <c:showLegendKey val="0"/>
          <c:showVal val="0"/>
          <c:showCatName val="0"/>
          <c:showSerName val="0"/>
          <c:showPercent val="0"/>
          <c:showBubbleSize val="0"/>
        </c:dLbls>
        <c:gapWidth val="219"/>
        <c:overlap val="-27"/>
        <c:axId val="1274811839"/>
        <c:axId val="1144871215"/>
      </c:barChart>
      <c:lineChart>
        <c:grouping val="stacked"/>
        <c:varyColors val="0"/>
        <c:ser>
          <c:idx val="2"/>
          <c:order val="2"/>
          <c:tx>
            <c:strRef>
              <c:f>'Efficiency PV'!$D$3</c:f>
              <c:strCache>
                <c:ptCount val="1"/>
                <c:pt idx="0">
                  <c:v>Product Efficiency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1"/>
            <c:marker>
              <c:symbol val="circle"/>
              <c:size val="5"/>
              <c:spPr>
                <a:solidFill>
                  <a:schemeClr val="accent3"/>
                </a:solidFill>
                <a:ln w="9525">
                  <a:solidFill>
                    <a:schemeClr val="accent3"/>
                  </a:solidFill>
                </a:ln>
                <a:effectLst/>
              </c:spPr>
            </c:marker>
            <c:bubble3D val="0"/>
            <c:spPr>
              <a:ln w="28575" cap="rnd">
                <a:solidFill>
                  <a:schemeClr val="accent3"/>
                </a:solidFill>
                <a:round/>
              </a:ln>
              <a:effectLst/>
            </c:spPr>
            <c:extLst>
              <c:ext xmlns:c16="http://schemas.microsoft.com/office/drawing/2014/chart" uri="{C3380CC4-5D6E-409C-BE32-E72D297353CC}">
                <c16:uniqueId val="{00000004-8404-41DF-80A0-79A47DEECEA7}"/>
              </c:ext>
            </c:extLst>
          </c:dPt>
          <c:dLbls>
            <c:dLbl>
              <c:idx val="1"/>
              <c:layout>
                <c:manualLayout>
                  <c:x val="-1.0799808429118818E-2"/>
                  <c:y val="-5.78357392825897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404-41DF-80A0-79A47DEECEA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'Efficiency PV'!$A$4:$A$10</c:f>
              <c:strCache>
                <c:ptCount val="6"/>
                <c:pt idx="0">
                  <c:v>CO-2L</c:v>
                </c:pt>
                <c:pt idx="1">
                  <c:v>CO-600</c:v>
                </c:pt>
                <c:pt idx="2">
                  <c:v>DC-600</c:v>
                </c:pt>
                <c:pt idx="3">
                  <c:v>LE-600</c:v>
                </c:pt>
                <c:pt idx="4">
                  <c:v>OR-600</c:v>
                </c:pt>
                <c:pt idx="5">
                  <c:v>RB-600</c:v>
                </c:pt>
              </c:strCache>
            </c:strRef>
          </c:cat>
          <c:val>
            <c:numRef>
              <c:f>'Efficiency PV'!$D$4:$D$10</c:f>
              <c:numCache>
                <c:formatCode>0.00</c:formatCode>
                <c:ptCount val="6"/>
                <c:pt idx="0">
                  <c:v>1.5653061224489795</c:v>
                </c:pt>
                <c:pt idx="1">
                  <c:v>1.548888888888889</c:v>
                </c:pt>
                <c:pt idx="2">
                  <c:v>1.4791666666666667</c:v>
                </c:pt>
                <c:pt idx="3">
                  <c:v>1.4694444444444446</c:v>
                </c:pt>
                <c:pt idx="4">
                  <c:v>2.25</c:v>
                </c:pt>
                <c:pt idx="5">
                  <c:v>1.6142857142857143</c:v>
                </c:pt>
              </c:numCache>
            </c:numRef>
          </c:val>
          <c:smooth val="0"/>
          <c:extLst>
            <c:ext xmlns:c16="http://schemas.microsoft.com/office/drawing/2014/chart" uri="{C3380CC4-5D6E-409C-BE32-E72D297353CC}">
              <c16:uniqueId val="{00000002-8404-41DF-80A0-79A47DEECEA7}"/>
            </c:ext>
          </c:extLst>
        </c:ser>
        <c:dLbls>
          <c:showLegendKey val="0"/>
          <c:showVal val="0"/>
          <c:showCatName val="0"/>
          <c:showSerName val="0"/>
          <c:showPercent val="0"/>
          <c:showBubbleSize val="0"/>
        </c:dLbls>
        <c:marker val="1"/>
        <c:smooth val="0"/>
        <c:axId val="1274831791"/>
        <c:axId val="1144893775"/>
      </c:lineChart>
      <c:catAx>
        <c:axId val="127481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871215"/>
        <c:crosses val="autoZero"/>
        <c:auto val="1"/>
        <c:lblAlgn val="ctr"/>
        <c:lblOffset val="100"/>
        <c:noMultiLvlLbl val="0"/>
      </c:catAx>
      <c:valAx>
        <c:axId val="114487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11839"/>
        <c:crosses val="autoZero"/>
        <c:crossBetween val="between"/>
      </c:valAx>
      <c:valAx>
        <c:axId val="11448937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831791"/>
        <c:crosses val="max"/>
        <c:crossBetween val="between"/>
      </c:valAx>
      <c:catAx>
        <c:axId val="1274831791"/>
        <c:scaling>
          <c:orientation val="minMax"/>
        </c:scaling>
        <c:delete val="1"/>
        <c:axPos val="b"/>
        <c:numFmt formatCode="General" sourceLinked="1"/>
        <c:majorTickMark val="out"/>
        <c:minorTickMark val="none"/>
        <c:tickLblPos val="nextTo"/>
        <c:crossAx val="1144893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Manufacturing_Line_Productivity.xlsx]Efficiency PV!PivotTable22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'Efficiency PV'!$B$17</c:f>
              <c:strCache>
                <c:ptCount val="1"/>
                <c:pt idx="0">
                  <c:v>Total</c:v>
                </c:pt>
              </c:strCache>
            </c:strRef>
          </c:tx>
          <c:spPr>
            <a:solidFill>
              <a:schemeClr val="accent1"/>
            </a:solidFill>
            <a:ln>
              <a:noFill/>
            </a:ln>
            <a:effectLst/>
          </c:spPr>
          <c:invertIfNegative val="0"/>
          <c:cat>
            <c:strRef>
              <c:f>'Efficiency PV'!$A$18:$A$24</c:f>
              <c:strCache>
                <c:ptCount val="6"/>
                <c:pt idx="0">
                  <c:v>CO-2L</c:v>
                </c:pt>
                <c:pt idx="1">
                  <c:v>CO-600</c:v>
                </c:pt>
                <c:pt idx="2">
                  <c:v>DC-600</c:v>
                </c:pt>
                <c:pt idx="3">
                  <c:v>LE-600</c:v>
                </c:pt>
                <c:pt idx="4">
                  <c:v>OR-600</c:v>
                </c:pt>
                <c:pt idx="5">
                  <c:v>RB-600</c:v>
                </c:pt>
              </c:strCache>
            </c:strRef>
          </c:cat>
          <c:val>
            <c:numRef>
              <c:f>'Efficiency PV'!$B$18:$B$24</c:f>
              <c:numCache>
                <c:formatCode>General</c:formatCode>
                <c:ptCount val="6"/>
                <c:pt idx="0">
                  <c:v>5</c:v>
                </c:pt>
                <c:pt idx="1">
                  <c:v>15</c:v>
                </c:pt>
                <c:pt idx="2">
                  <c:v>4</c:v>
                </c:pt>
                <c:pt idx="3">
                  <c:v>6</c:v>
                </c:pt>
                <c:pt idx="4">
                  <c:v>1</c:v>
                </c:pt>
                <c:pt idx="5">
                  <c:v>7</c:v>
                </c:pt>
              </c:numCache>
            </c:numRef>
          </c:val>
          <c:extLst>
            <c:ext xmlns:c16="http://schemas.microsoft.com/office/drawing/2014/chart" uri="{C3380CC4-5D6E-409C-BE32-E72D297353CC}">
              <c16:uniqueId val="{00000000-EBB4-402A-AAAC-F7D4A30A0BDD}"/>
            </c:ext>
          </c:extLst>
        </c:ser>
        <c:dLbls>
          <c:showLegendKey val="0"/>
          <c:showVal val="0"/>
          <c:showCatName val="0"/>
          <c:showSerName val="0"/>
          <c:showPercent val="0"/>
          <c:showBubbleSize val="0"/>
        </c:dLbls>
        <c:gapWidth val="219"/>
        <c:overlap val="-27"/>
        <c:axId val="1575620255"/>
        <c:axId val="1571149967"/>
      </c:barChart>
      <c:catAx>
        <c:axId val="157562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149967"/>
        <c:crosses val="autoZero"/>
        <c:auto val="1"/>
        <c:lblAlgn val="ctr"/>
        <c:lblOffset val="100"/>
        <c:noMultiLvlLbl val="0"/>
      </c:catAx>
      <c:valAx>
        <c:axId val="157114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62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Manufacturing_Line_Productivity.xlsx]Downtime Error_PV!PivotTable15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Operator</a:t>
            </a:r>
            <a:r>
              <a:rPr lang="en-US" baseline="0"/>
              <a:t> Error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B3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B300"/>
          </a:solidFill>
          <a:ln w="19050">
            <a:solidFill>
              <a:schemeClr val="lt1"/>
            </a:solidFill>
          </a:ln>
          <a:effectLst/>
        </c:spPr>
      </c:pivotFmt>
      <c:pivotFmt>
        <c:idx val="2"/>
        <c:spPr>
          <a:solidFill>
            <a:srgbClr val="3A6EA5"/>
          </a:solidFill>
          <a:ln w="19050">
            <a:solidFill>
              <a:schemeClr val="lt1"/>
            </a:solidFill>
          </a:ln>
          <a:effectLst/>
        </c:spPr>
      </c:pivotFmt>
    </c:pivotFmts>
    <c:plotArea>
      <c:layout/>
      <c:doughnutChart>
        <c:varyColors val="1"/>
        <c:ser>
          <c:idx val="0"/>
          <c:order val="0"/>
          <c:tx>
            <c:strRef>
              <c:f>'Downtime Error_PV'!$B$3</c:f>
              <c:strCache>
                <c:ptCount val="1"/>
                <c:pt idx="0">
                  <c:v>Total</c:v>
                </c:pt>
              </c:strCache>
            </c:strRef>
          </c:tx>
          <c:spPr>
            <a:solidFill>
              <a:srgbClr val="FFB300"/>
            </a:solidFill>
          </c:spPr>
          <c:dPt>
            <c:idx val="0"/>
            <c:bubble3D val="0"/>
            <c:spPr>
              <a:solidFill>
                <a:srgbClr val="3A6EA5"/>
              </a:solidFill>
              <a:ln w="19050">
                <a:solidFill>
                  <a:schemeClr val="lt1"/>
                </a:solidFill>
              </a:ln>
              <a:effectLst/>
            </c:spPr>
            <c:extLst>
              <c:ext xmlns:c16="http://schemas.microsoft.com/office/drawing/2014/chart" uri="{C3380CC4-5D6E-409C-BE32-E72D297353CC}">
                <c16:uniqueId val="{00000003-B897-4C99-A2DB-4A95A7CC6141}"/>
              </c:ext>
            </c:extLst>
          </c:dPt>
          <c:dPt>
            <c:idx val="1"/>
            <c:bubble3D val="0"/>
            <c:spPr>
              <a:solidFill>
                <a:srgbClr val="FFB300"/>
              </a:solidFill>
              <a:ln w="19050">
                <a:solidFill>
                  <a:schemeClr val="lt1"/>
                </a:solidFill>
              </a:ln>
              <a:effectLst/>
            </c:spPr>
            <c:extLst>
              <c:ext xmlns:c16="http://schemas.microsoft.com/office/drawing/2014/chart" uri="{C3380CC4-5D6E-409C-BE32-E72D297353CC}">
                <c16:uniqueId val="{00000002-B897-4C99-A2DB-4A95A7CC61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'Downtime Error_PV'!$A$4:$A$6</c:f>
              <c:strCache>
                <c:ptCount val="2"/>
                <c:pt idx="0">
                  <c:v>No</c:v>
                </c:pt>
                <c:pt idx="1">
                  <c:v>Yes</c:v>
                </c:pt>
              </c:strCache>
            </c:strRef>
          </c:cat>
          <c:val>
            <c:numRef>
              <c:f>'Downtime Error_PV'!$B$4:$B$6</c:f>
              <c:numCache>
                <c:formatCode>General</c:formatCode>
                <c:ptCount val="2"/>
                <c:pt idx="0">
                  <c:v>29</c:v>
                </c:pt>
                <c:pt idx="1">
                  <c:v>32</c:v>
                </c:pt>
              </c:numCache>
            </c:numRef>
          </c:val>
          <c:extLst>
            <c:ext xmlns:c16="http://schemas.microsoft.com/office/drawing/2014/chart" uri="{C3380CC4-5D6E-409C-BE32-E72D297353CC}">
              <c16:uniqueId val="{00000000-B897-4C99-A2DB-4A95A7CC614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403860</xdr:colOff>
      <xdr:row>1</xdr:row>
      <xdr:rowOff>38100</xdr:rowOff>
    </xdr:from>
    <xdr:to>
      <xdr:col>16</xdr:col>
      <xdr:colOff>137160</xdr:colOff>
      <xdr:row>24</xdr:row>
      <xdr:rowOff>175260</xdr:rowOff>
    </xdr:to>
    <xdr:sp macro="" textlink="">
      <xdr:nvSpPr>
        <xdr:cNvPr id="2" name="TextBox 1">
          <a:extLst>
            <a:ext uri="{FF2B5EF4-FFF2-40B4-BE49-F238E27FC236}">
              <a16:creationId xmlns:a16="http://schemas.microsoft.com/office/drawing/2014/main" id="{F2D71299-F7D8-DDEB-ECB8-552969586355}"/>
            </a:ext>
          </a:extLst>
        </xdr:cNvPr>
        <xdr:cNvSpPr txBox="1"/>
      </xdr:nvSpPr>
      <xdr:spPr>
        <a:xfrm>
          <a:off x="403860" y="220980"/>
          <a:ext cx="9486900" cy="434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200" b="1" i="0" u="sng">
              <a:solidFill>
                <a:schemeClr val="dk1"/>
              </a:solidFill>
              <a:effectLst/>
              <a:latin typeface="+mj-lt"/>
              <a:ea typeface="+mn-ea"/>
              <a:cs typeface="+mn-cs"/>
            </a:rPr>
            <a:t>Background:</a:t>
          </a:r>
        </a:p>
        <a:p>
          <a:endParaRPr lang="en-MY" sz="1100" b="0" i="0">
            <a:solidFill>
              <a:schemeClr val="dk1"/>
            </a:solidFill>
            <a:effectLst/>
            <a:latin typeface="+mj-lt"/>
            <a:ea typeface="+mn-ea"/>
            <a:cs typeface="+mn-cs"/>
          </a:endParaRPr>
        </a:p>
        <a:p>
          <a:r>
            <a:rPr lang="en-MY" sz="1100" b="0" i="0">
              <a:solidFill>
                <a:schemeClr val="dk1"/>
              </a:solidFill>
              <a:effectLst/>
              <a:latin typeface="+mj-lt"/>
              <a:ea typeface="+mn-ea"/>
              <a:cs typeface="+mn-cs"/>
            </a:rPr>
            <a:t>Productivity &amp; downtime data for a soda bottling production line, including information on the operator, product, start &amp; end times, and dowtime factors for each batch.</a:t>
          </a:r>
        </a:p>
        <a:p>
          <a:endParaRPr lang="en-MY" sz="1100" b="0" i="0">
            <a:solidFill>
              <a:schemeClr val="dk1"/>
            </a:solidFill>
            <a:effectLst/>
            <a:latin typeface="+mj-lt"/>
            <a:ea typeface="+mn-ea"/>
            <a:cs typeface="+mn-cs"/>
          </a:endParaRPr>
        </a:p>
        <a:p>
          <a:r>
            <a:rPr lang="en-MY" sz="1200" b="1" u="sng">
              <a:latin typeface="+mj-lt"/>
            </a:rPr>
            <a:t>Analysis:</a:t>
          </a:r>
        </a:p>
        <a:p>
          <a:r>
            <a:rPr lang="en-MY" sz="1100">
              <a:latin typeface="+mj-lt"/>
            </a:rPr>
            <a:t>1)</a:t>
          </a:r>
          <a:r>
            <a:rPr lang="en-MY" sz="1100" baseline="0">
              <a:latin typeface="+mj-lt"/>
            </a:rPr>
            <a:t> </a:t>
          </a:r>
          <a:r>
            <a:rPr lang="en-MY" sz="1100">
              <a:latin typeface="+mj-lt"/>
            </a:rPr>
            <a:t>Current line efficiency ( total time/min time)</a:t>
          </a:r>
        </a:p>
        <a:p>
          <a:endParaRPr lang="en-MY" sz="1100">
            <a:latin typeface="+mj-lt"/>
          </a:endParaRPr>
        </a:p>
        <a:p>
          <a:r>
            <a:rPr lang="en-MY" sz="1100">
              <a:latin typeface="+mj-lt"/>
            </a:rPr>
            <a:t>2) Operators underperforming</a:t>
          </a:r>
        </a:p>
        <a:p>
          <a:endParaRPr lang="en-MY" sz="1100">
            <a:latin typeface="+mj-lt"/>
          </a:endParaRPr>
        </a:p>
        <a:p>
          <a:r>
            <a:rPr lang="en-MY" sz="1100">
              <a:latin typeface="+mj-lt"/>
            </a:rPr>
            <a:t>3) Leading factors for</a:t>
          </a:r>
          <a:r>
            <a:rPr lang="en-MY" sz="1100" baseline="0">
              <a:latin typeface="+mj-lt"/>
            </a:rPr>
            <a:t> underperforming.</a:t>
          </a:r>
        </a:p>
        <a:p>
          <a:endParaRPr lang="en-MY" sz="1100" baseline="0">
            <a:latin typeface="+mj-lt"/>
          </a:endParaRPr>
        </a:p>
        <a:p>
          <a:r>
            <a:rPr lang="en-MY" sz="1200" b="1" u="sng" baseline="0">
              <a:latin typeface="+mj-lt"/>
            </a:rPr>
            <a:t>Findings:</a:t>
          </a:r>
        </a:p>
        <a:p>
          <a:endParaRPr lang="en-MY" sz="1100" b="0" baseline="0">
            <a:latin typeface="+mj-lt"/>
          </a:endParaRPr>
        </a:p>
        <a:p>
          <a:pPr lvl="0"/>
          <a:r>
            <a:rPr lang="en-MY" sz="1100" b="0" baseline="0">
              <a:latin typeface="+mj-lt"/>
            </a:rPr>
            <a:t>1) </a:t>
          </a:r>
          <a:r>
            <a:rPr lang="en-MY" b="0"/>
            <a:t>Although Product OR-600 demonstrates high efficiency, its production output is relatively low. </a:t>
          </a:r>
        </a:p>
        <a:p>
          <a:endParaRPr lang="en-MY" sz="1100" baseline="0">
            <a:latin typeface="+mj-lt"/>
          </a:endParaRPr>
        </a:p>
        <a:p>
          <a:r>
            <a:rPr lang="en-MY" sz="1100" baseline="0">
              <a:latin typeface="+mj-lt"/>
            </a:rPr>
            <a:t>2) </a:t>
          </a:r>
          <a:r>
            <a:rPr lang="en-MY"/>
            <a:t>Dee recorded a higher operator error rate, which is notable given that he handles high-volume production products.</a:t>
          </a:r>
        </a:p>
        <a:p>
          <a:endParaRPr lang="en-MY" sz="1100" baseline="0">
            <a:latin typeface="+mj-lt"/>
          </a:endParaRPr>
        </a:p>
        <a:p>
          <a:r>
            <a:rPr lang="en-MY" sz="1100" baseline="0">
              <a:latin typeface="+mj-lt"/>
            </a:rPr>
            <a:t>3)</a:t>
          </a:r>
          <a:r>
            <a:rPr lang="en-MY"/>
            <a:t>Dee is still developing proficiency in machine adjustment.</a:t>
          </a:r>
        </a:p>
        <a:p>
          <a:endParaRPr lang="en-MY" sz="1100">
            <a:latin typeface="+mj-lt"/>
          </a:endParaRPr>
        </a:p>
        <a:p>
          <a:r>
            <a:rPr lang="en-MY" sz="1200" b="1" u="sng">
              <a:latin typeface="+mj-lt"/>
            </a:rPr>
            <a:t>Key</a:t>
          </a:r>
          <a:r>
            <a:rPr lang="en-MY" sz="1200" b="1" u="sng" baseline="0">
              <a:latin typeface="+mj-lt"/>
            </a:rPr>
            <a:t> Features:</a:t>
          </a:r>
        </a:p>
        <a:p>
          <a:endParaRPr lang="en-MY" sz="1100" baseline="0">
            <a:latin typeface="+mj-lt"/>
          </a:endParaRPr>
        </a:p>
        <a:p>
          <a:r>
            <a:rPr lang="en-MY" sz="1100" baseline="0">
              <a:latin typeface="+mj-lt"/>
            </a:rPr>
            <a:t>Query - merging data, calculate time duration</a:t>
          </a:r>
        </a:p>
        <a:p>
          <a:r>
            <a:rPr lang="en-MY" sz="1100" baseline="0">
              <a:latin typeface="+mj-lt"/>
            </a:rPr>
            <a:t>Pivot table</a:t>
          </a:r>
        </a:p>
        <a:p>
          <a:endParaRPr lang="en-MY" sz="1100">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489858</xdr:colOff>
      <xdr:row>3</xdr:row>
      <xdr:rowOff>74220</xdr:rowOff>
    </xdr:from>
    <xdr:to>
      <xdr:col>22</xdr:col>
      <xdr:colOff>174172</xdr:colOff>
      <xdr:row>19</xdr:row>
      <xdr:rowOff>76201</xdr:rowOff>
    </xdr:to>
    <xdr:graphicFrame macro="">
      <xdr:nvGraphicFramePr>
        <xdr:cNvPr id="2" name="Chart 1">
          <a:extLst>
            <a:ext uri="{FF2B5EF4-FFF2-40B4-BE49-F238E27FC236}">
              <a16:creationId xmlns:a16="http://schemas.microsoft.com/office/drawing/2014/main" id="{7B2FA092-C2DB-4B44-B191-53BFE93DC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468828</xdr:colOff>
      <xdr:row>19</xdr:row>
      <xdr:rowOff>89261</xdr:rowOff>
    </xdr:from>
    <xdr:to>
      <xdr:col>10</xdr:col>
      <xdr:colOff>424543</xdr:colOff>
      <xdr:row>35</xdr:row>
      <xdr:rowOff>10885</xdr:rowOff>
    </xdr:to>
    <xdr:graphicFrame macro="">
      <xdr:nvGraphicFramePr>
        <xdr:cNvPr id="4" name="Chart 3">
          <a:extLst>
            <a:ext uri="{FF2B5EF4-FFF2-40B4-BE49-F238E27FC236}">
              <a16:creationId xmlns:a16="http://schemas.microsoft.com/office/drawing/2014/main" id="{E754329A-DF18-4860-9889-05A24635E7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72242</xdr:colOff>
      <xdr:row>24</xdr:row>
      <xdr:rowOff>49513</xdr:rowOff>
    </xdr:from>
    <xdr:to>
      <xdr:col>2</xdr:col>
      <xdr:colOff>435428</xdr:colOff>
      <xdr:row>29</xdr:row>
      <xdr:rowOff>178541</xdr:rowOff>
    </xdr:to>
    <mc:AlternateContent xmlns:mc="http://schemas.openxmlformats.org/markup-compatibility/2006" xmlns:a14="http://schemas.microsoft.com/office/drawing/2010/main">
      <mc:Choice Requires="a14">
        <xdr:graphicFrame macro="">
          <xdr:nvGraphicFramePr>
            <xdr:cNvPr id="12" name="Operator Error">
              <a:extLst>
                <a:ext uri="{FF2B5EF4-FFF2-40B4-BE49-F238E27FC236}">
                  <a16:creationId xmlns:a16="http://schemas.microsoft.com/office/drawing/2014/main" id="{2CE64C54-B06F-435F-64D8-6503679C9C02}"/>
                </a:ext>
              </a:extLst>
            </xdr:cNvPr>
            <xdr:cNvGraphicFramePr/>
          </xdr:nvGraphicFramePr>
          <xdr:xfrm>
            <a:off x="0" y="0"/>
            <a:ext cx="0" cy="0"/>
          </xdr:xfrm>
          <a:graphic>
            <a:graphicData uri="http://schemas.microsoft.com/office/drawing/2010/slicer">
              <sle:slicer xmlns:sle="http://schemas.microsoft.com/office/drawing/2010/slicer" name="Operator Error"/>
            </a:graphicData>
          </a:graphic>
        </xdr:graphicFrame>
      </mc:Choice>
      <mc:Fallback xmlns="">
        <xdr:sp macro="" textlink="">
          <xdr:nvSpPr>
            <xdr:cNvPr id="0" name=""/>
            <xdr:cNvSpPr>
              <a:spLocks noTextEdit="1"/>
            </xdr:cNvSpPr>
          </xdr:nvSpPr>
          <xdr:spPr>
            <a:xfrm>
              <a:off x="72242" y="4490884"/>
              <a:ext cx="1582386" cy="105431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311727</xdr:colOff>
      <xdr:row>3</xdr:row>
      <xdr:rowOff>80157</xdr:rowOff>
    </xdr:from>
    <xdr:to>
      <xdr:col>32</xdr:col>
      <xdr:colOff>353289</xdr:colOff>
      <xdr:row>19</xdr:row>
      <xdr:rowOff>87085</xdr:rowOff>
    </xdr:to>
    <xdr:graphicFrame macro="">
      <xdr:nvGraphicFramePr>
        <xdr:cNvPr id="20" name="Chart 19">
          <a:extLst>
            <a:ext uri="{FF2B5EF4-FFF2-40B4-BE49-F238E27FC236}">
              <a16:creationId xmlns:a16="http://schemas.microsoft.com/office/drawing/2014/main" id="{BF28618F-2D39-4B32-B41D-AB87D7A2A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507914</xdr:colOff>
      <xdr:row>19</xdr:row>
      <xdr:rowOff>119742</xdr:rowOff>
    </xdr:from>
    <xdr:to>
      <xdr:col>32</xdr:col>
      <xdr:colOff>391885</xdr:colOff>
      <xdr:row>34</xdr:row>
      <xdr:rowOff>174171</xdr:rowOff>
    </xdr:to>
    <xdr:graphicFrame macro="">
      <xdr:nvGraphicFramePr>
        <xdr:cNvPr id="21" name="Chart 20">
          <a:extLst>
            <a:ext uri="{FF2B5EF4-FFF2-40B4-BE49-F238E27FC236}">
              <a16:creationId xmlns:a16="http://schemas.microsoft.com/office/drawing/2014/main" id="{EDC875A4-DC26-4629-8F17-D9C7FB20ED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560614</xdr:colOff>
      <xdr:row>35</xdr:row>
      <xdr:rowOff>60366</xdr:rowOff>
    </xdr:from>
    <xdr:to>
      <xdr:col>32</xdr:col>
      <xdr:colOff>370114</xdr:colOff>
      <xdr:row>52</xdr:row>
      <xdr:rowOff>141515</xdr:rowOff>
    </xdr:to>
    <xdr:graphicFrame macro="">
      <xdr:nvGraphicFramePr>
        <xdr:cNvPr id="22" name="Chart 21">
          <a:extLst>
            <a:ext uri="{FF2B5EF4-FFF2-40B4-BE49-F238E27FC236}">
              <a16:creationId xmlns:a16="http://schemas.microsoft.com/office/drawing/2014/main" id="{EB3E6047-947F-4113-AC0A-8AA13818B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491835</xdr:colOff>
      <xdr:row>3</xdr:row>
      <xdr:rowOff>71251</xdr:rowOff>
    </xdr:from>
    <xdr:to>
      <xdr:col>10</xdr:col>
      <xdr:colOff>424543</xdr:colOff>
      <xdr:row>19</xdr:row>
      <xdr:rowOff>54430</xdr:rowOff>
    </xdr:to>
    <xdr:graphicFrame macro="">
      <xdr:nvGraphicFramePr>
        <xdr:cNvPr id="6" name="Chart 5">
          <a:extLst>
            <a:ext uri="{FF2B5EF4-FFF2-40B4-BE49-F238E27FC236}">
              <a16:creationId xmlns:a16="http://schemas.microsoft.com/office/drawing/2014/main" id="{C2D7B216-F305-4480-AEBF-8FBED7FD5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76595</xdr:colOff>
      <xdr:row>3</xdr:row>
      <xdr:rowOff>77492</xdr:rowOff>
    </xdr:from>
    <xdr:to>
      <xdr:col>2</xdr:col>
      <xdr:colOff>391886</xdr:colOff>
      <xdr:row>14</xdr:row>
      <xdr:rowOff>108859</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9CBFFCB9-AB8C-ABCB-0A65-7DE26EBC54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595" y="632663"/>
              <a:ext cx="1534491" cy="206699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73627</xdr:colOff>
      <xdr:row>14</xdr:row>
      <xdr:rowOff>176450</xdr:rowOff>
    </xdr:from>
    <xdr:to>
      <xdr:col>2</xdr:col>
      <xdr:colOff>413657</xdr:colOff>
      <xdr:row>23</xdr:row>
      <xdr:rowOff>108859</xdr:rowOff>
    </xdr:to>
    <mc:AlternateContent xmlns:mc="http://schemas.openxmlformats.org/markup-compatibility/2006" xmlns:a14="http://schemas.microsoft.com/office/drawing/2010/main">
      <mc:Choice Requires="a14">
        <xdr:graphicFrame macro="">
          <xdr:nvGraphicFramePr>
            <xdr:cNvPr id="8" name="Operator">
              <a:extLst>
                <a:ext uri="{FF2B5EF4-FFF2-40B4-BE49-F238E27FC236}">
                  <a16:creationId xmlns:a16="http://schemas.microsoft.com/office/drawing/2014/main" id="{E7508B6B-048A-0C64-9B9D-BF9BA8FDE38E}"/>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73627" y="2767250"/>
              <a:ext cx="1559230" cy="1597923"/>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35</xdr:row>
      <xdr:rowOff>87087</xdr:rowOff>
    </xdr:from>
    <xdr:to>
      <xdr:col>10</xdr:col>
      <xdr:colOff>457200</xdr:colOff>
      <xdr:row>52</xdr:row>
      <xdr:rowOff>149432</xdr:rowOff>
    </xdr:to>
    <xdr:graphicFrame macro="">
      <xdr:nvGraphicFramePr>
        <xdr:cNvPr id="9" name="Chart 8">
          <a:extLst>
            <a:ext uri="{FF2B5EF4-FFF2-40B4-BE49-F238E27FC236}">
              <a16:creationId xmlns:a16="http://schemas.microsoft.com/office/drawing/2014/main" id="{5C96B015-2539-4BCF-9796-BF2155D28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21771</xdr:colOff>
      <xdr:row>0</xdr:row>
      <xdr:rowOff>65312</xdr:rowOff>
    </xdr:from>
    <xdr:to>
      <xdr:col>32</xdr:col>
      <xdr:colOff>446314</xdr:colOff>
      <xdr:row>3</xdr:row>
      <xdr:rowOff>21770</xdr:rowOff>
    </xdr:to>
    <xdr:sp macro="" textlink="">
      <xdr:nvSpPr>
        <xdr:cNvPr id="11" name="TextBox 10">
          <a:extLst>
            <a:ext uri="{FF2B5EF4-FFF2-40B4-BE49-F238E27FC236}">
              <a16:creationId xmlns:a16="http://schemas.microsoft.com/office/drawing/2014/main" id="{8AC715CF-E05C-B3BD-CB7E-E18B21D052C0}"/>
            </a:ext>
          </a:extLst>
        </xdr:cNvPr>
        <xdr:cNvSpPr txBox="1"/>
      </xdr:nvSpPr>
      <xdr:spPr>
        <a:xfrm>
          <a:off x="21771" y="65312"/>
          <a:ext cx="19931743" cy="511629"/>
        </a:xfrm>
        <a:prstGeom prst="rect">
          <a:avLst/>
        </a:prstGeom>
        <a:solidFill>
          <a:srgbClr val="3A6EA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4000" b="1">
              <a:solidFill>
                <a:schemeClr val="bg1"/>
              </a:solidFill>
            </a:rPr>
            <a:t>Soda</a:t>
          </a:r>
          <a:r>
            <a:rPr lang="en-MY" sz="4000" b="1" baseline="0">
              <a:solidFill>
                <a:schemeClr val="bg1"/>
              </a:solidFill>
            </a:rPr>
            <a:t> Bottle Production Downtime</a:t>
          </a:r>
          <a:endParaRPr lang="en-MY" sz="40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53340</xdr:rowOff>
    </xdr:from>
    <xdr:to>
      <xdr:col>12</xdr:col>
      <xdr:colOff>259080</xdr:colOff>
      <xdr:row>15</xdr:row>
      <xdr:rowOff>53340</xdr:rowOff>
    </xdr:to>
    <xdr:graphicFrame macro="">
      <xdr:nvGraphicFramePr>
        <xdr:cNvPr id="6" name="Chart 5">
          <a:extLst>
            <a:ext uri="{FF2B5EF4-FFF2-40B4-BE49-F238E27FC236}">
              <a16:creationId xmlns:a16="http://schemas.microsoft.com/office/drawing/2014/main" id="{A2BB9B40-B729-D809-3D5E-63ACFF81F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281940</xdr:colOff>
      <xdr:row>18</xdr:row>
      <xdr:rowOff>160020</xdr:rowOff>
    </xdr:from>
    <xdr:to>
      <xdr:col>14</xdr:col>
      <xdr:colOff>647700</xdr:colOff>
      <xdr:row>32</xdr:row>
      <xdr:rowOff>121920</xdr:rowOff>
    </xdr:to>
    <xdr:graphicFrame macro="">
      <xdr:nvGraphicFramePr>
        <xdr:cNvPr id="8" name="Chart 7">
          <a:extLst>
            <a:ext uri="{FF2B5EF4-FFF2-40B4-BE49-F238E27FC236}">
              <a16:creationId xmlns:a16="http://schemas.microsoft.com/office/drawing/2014/main" id="{A22BC87E-37E7-248D-7C2F-8E4A3900E4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259080</xdr:colOff>
      <xdr:row>68</xdr:row>
      <xdr:rowOff>38100</xdr:rowOff>
    </xdr:from>
    <xdr:to>
      <xdr:col>12</xdr:col>
      <xdr:colOff>15240</xdr:colOff>
      <xdr:row>83</xdr:row>
      <xdr:rowOff>38100</xdr:rowOff>
    </xdr:to>
    <xdr:graphicFrame macro="">
      <xdr:nvGraphicFramePr>
        <xdr:cNvPr id="9" name="Chart 8">
          <a:extLst>
            <a:ext uri="{FF2B5EF4-FFF2-40B4-BE49-F238E27FC236}">
              <a16:creationId xmlns:a16="http://schemas.microsoft.com/office/drawing/2014/main" id="{6D5B4999-2D93-19E2-BA22-1B49CC2A8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106680</xdr:colOff>
      <xdr:row>0</xdr:row>
      <xdr:rowOff>171450</xdr:rowOff>
    </xdr:from>
    <xdr:to>
      <xdr:col>13</xdr:col>
      <xdr:colOff>411480</xdr:colOff>
      <xdr:row>15</xdr:row>
      <xdr:rowOff>171450</xdr:rowOff>
    </xdr:to>
    <xdr:graphicFrame macro="">
      <xdr:nvGraphicFramePr>
        <xdr:cNvPr id="3" name="Chart 2">
          <a:extLst>
            <a:ext uri="{FF2B5EF4-FFF2-40B4-BE49-F238E27FC236}">
              <a16:creationId xmlns:a16="http://schemas.microsoft.com/office/drawing/2014/main" id="{5FA0D772-4471-DCDE-41FF-3F10D3FB5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99060</xdr:colOff>
      <xdr:row>17</xdr:row>
      <xdr:rowOff>129540</xdr:rowOff>
    </xdr:from>
    <xdr:to>
      <xdr:col>14</xdr:col>
      <xdr:colOff>7620</xdr:colOff>
      <xdr:row>35</xdr:row>
      <xdr:rowOff>175260</xdr:rowOff>
    </xdr:to>
    <xdr:graphicFrame macro="">
      <xdr:nvGraphicFramePr>
        <xdr:cNvPr id="4" name="Chart 3">
          <a:extLst>
            <a:ext uri="{FF2B5EF4-FFF2-40B4-BE49-F238E27FC236}">
              <a16:creationId xmlns:a16="http://schemas.microsoft.com/office/drawing/2014/main" id="{D4E814BE-F757-4C7D-0763-3C53EF72B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396240</xdr:colOff>
      <xdr:row>2</xdr:row>
      <xdr:rowOff>163830</xdr:rowOff>
    </xdr:from>
    <xdr:to>
      <xdr:col>12</xdr:col>
      <xdr:colOff>335280</xdr:colOff>
      <xdr:row>17</xdr:row>
      <xdr:rowOff>163830</xdr:rowOff>
    </xdr:to>
    <xdr:graphicFrame macro="">
      <xdr:nvGraphicFramePr>
        <xdr:cNvPr id="2" name="Chart 1">
          <a:extLst>
            <a:ext uri="{FF2B5EF4-FFF2-40B4-BE49-F238E27FC236}">
              <a16:creationId xmlns:a16="http://schemas.microsoft.com/office/drawing/2014/main" id="{7DE1D171-E530-D154-5AF3-8BBE44583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411480</xdr:colOff>
      <xdr:row>18</xdr:row>
      <xdr:rowOff>140970</xdr:rowOff>
    </xdr:from>
    <xdr:to>
      <xdr:col>12</xdr:col>
      <xdr:colOff>106680</xdr:colOff>
      <xdr:row>33</xdr:row>
      <xdr:rowOff>140970</xdr:rowOff>
    </xdr:to>
    <xdr:graphicFrame macro="">
      <xdr:nvGraphicFramePr>
        <xdr:cNvPr id="3" name="Chart 2">
          <a:extLst>
            <a:ext uri="{FF2B5EF4-FFF2-40B4-BE49-F238E27FC236}">
              <a16:creationId xmlns:a16="http://schemas.microsoft.com/office/drawing/2014/main" id="{37DD7003-841B-B224-89B9-CAD20637E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365760</xdr:colOff>
      <xdr:row>1</xdr:row>
      <xdr:rowOff>137160</xdr:rowOff>
    </xdr:from>
    <xdr:to>
      <xdr:col>9</xdr:col>
      <xdr:colOff>274320</xdr:colOff>
      <xdr:row>11</xdr:row>
      <xdr:rowOff>102870</xdr:rowOff>
    </xdr:to>
    <xdr:graphicFrame macro="">
      <xdr:nvGraphicFramePr>
        <xdr:cNvPr id="3" name="Chart 2">
          <a:extLst>
            <a:ext uri="{FF2B5EF4-FFF2-40B4-BE49-F238E27FC236}">
              <a16:creationId xmlns:a16="http://schemas.microsoft.com/office/drawing/2014/main" id="{91151DBE-B7B2-C4C9-13C5-B6206B8395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n H" refreshedDate="46275.764995138888" createdVersion="8" refreshedVersion="8" minRefreshableVersion="3" recordCount="61" xr:uid="{D09E54EE-78C8-4F7B-9131-1A1F2F9610BC}">
  <cacheSource type="worksheet">
    <worksheetSource name="Line_downtime"/>
  </cacheSource>
  <cacheFields count="7">
    <cacheField name="Batch" numFmtId="0">
      <sharedItems containsSemiMixedTypes="0" containsString="0" containsNumber="1" containsInteger="1" minValue="422111" maxValue="422148"/>
    </cacheField>
    <cacheField name="Product" numFmtId="0">
      <sharedItems count="6">
        <s v="OR-600"/>
        <s v="LE-600"/>
        <s v="CO-600"/>
        <s v="DC-600"/>
        <s v="RB-600"/>
        <s v="CO-2L"/>
      </sharedItems>
    </cacheField>
    <cacheField name="Downtime Factor" numFmtId="0">
      <sharedItems containsSemiMixedTypes="0" containsString="0" containsNumber="1" containsInteger="1" minValue="2" maxValue="12"/>
    </cacheField>
    <cacheField name="Downtime Description" numFmtId="0">
      <sharedItems count="11">
        <s v="Batch change"/>
        <s v="Machine failure"/>
        <s v="Batch coding error"/>
        <s v="Inventory shortage"/>
        <s v="Machine adjustment"/>
        <s v="Calibration error"/>
        <s v="Label switch"/>
        <s v="Other"/>
        <s v="Product spill"/>
        <s v="Conveyor belt jam"/>
        <s v="Labeling error"/>
      </sharedItems>
    </cacheField>
    <cacheField name="Downtime" numFmtId="0">
      <sharedItems containsSemiMixedTypes="0" containsString="0" containsNumber="1" containsInteger="1" minValue="5" maxValue="60"/>
    </cacheField>
    <cacheField name="Operator Error" numFmtId="0">
      <sharedItems count="2">
        <s v="Yes"/>
        <s v="No"/>
      </sharedItems>
    </cacheField>
    <cacheField name="Operator" numFmtId="0">
      <sharedItems count="4">
        <s v="Mac"/>
        <s v="Charlie"/>
        <s v="Dee"/>
        <s v="Dennis"/>
      </sharedItems>
    </cacheField>
  </cacheFields>
  <extLst>
    <ext xmlns:x14="http://schemas.microsoft.com/office/spreadsheetml/2009/9/main" uri="{725AE2AE-9491-48be-B2B4-4EB974FC3084}">
      <x14:pivotCacheDefinition pivotCacheId="20214565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n H" refreshedDate="46279.481905439818" createdVersion="8" refreshedVersion="8" minRefreshableVersion="3" recordCount="38" xr:uid="{DF4D95E4-DE50-4831-B63A-9CF4D6CB75CE}">
  <cacheSource type="worksheet">
    <worksheetSource name="Line_productivity"/>
  </cacheSource>
  <cacheFields count="11">
    <cacheField name="Date" numFmtId="14">
      <sharedItems containsSemiMixedTypes="0" containsNonDate="0" containsDate="1" containsString="0" minDate="2024-08-29T00:00:00" maxDate="2024-09-04T00:00:00"/>
    </cacheField>
    <cacheField name="Product" numFmtId="0">
      <sharedItems count="6">
        <s v="OR-600"/>
        <s v="LE-600"/>
        <s v="CO-600"/>
        <s v="DC-600"/>
        <s v="RB-600"/>
        <s v="CO-2L"/>
      </sharedItems>
    </cacheField>
    <cacheField name="Batch" numFmtId="0">
      <sharedItems/>
    </cacheField>
    <cacheField name="Operator" numFmtId="0">
      <sharedItems count="4">
        <s v="Mac"/>
        <s v="Charlie"/>
        <s v="Dee"/>
        <s v="Dennis"/>
      </sharedItems>
    </cacheField>
    <cacheField name="Start Time" numFmtId="166">
      <sharedItems containsSemiMixedTypes="0" containsNonDate="0" containsDate="1" containsString="0" minDate="1899-12-30T01:00:00" maxDate="1899-12-30T22:55:00"/>
    </cacheField>
    <cacheField name="End Time" numFmtId="166">
      <sharedItems containsSemiMixedTypes="0" containsNonDate="0" containsDate="1" containsString="0" minDate="1899-12-30T01:05:00" maxDate="1899-12-30T23:29:00"/>
    </cacheField>
    <cacheField name="Duration" numFmtId="0">
      <sharedItems containsSemiMixedTypes="0" containsString="0" containsNumber="1" minValue="4.1666666666666664E-2" maxValue="0.1423611111111111"/>
    </cacheField>
    <cacheField name="Total Minutes" numFmtId="0">
      <sharedItems containsSemiMixedTypes="0" containsString="0" containsNumber="1" containsInteger="1" minValue="60" maxValue="205"/>
    </cacheField>
    <cacheField name="Min batch time" numFmtId="0">
      <sharedItems containsSemiMixedTypes="0" containsString="0" containsNumber="1" containsInteger="1" minValue="60" maxValue="98"/>
    </cacheField>
    <cacheField name="Efficiency" numFmtId="10">
      <sharedItems containsSemiMixedTypes="0" containsString="0" containsNumber="1" minValue="0.44444444444444398" maxValue="1"/>
    </cacheField>
    <cacheField name="Average efficiency" numFmtId="0" formula="'Total Minutes'/'Min batch time'" databaseField="0"/>
  </cacheFields>
  <extLst>
    <ext xmlns:x14="http://schemas.microsoft.com/office/spreadsheetml/2009/9/main" uri="{725AE2AE-9491-48be-B2B4-4EB974FC3084}">
      <x14:pivotCacheDefinition pivotCacheId="1290501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422111"/>
    <x v="0"/>
    <n v="2"/>
    <x v="0"/>
    <n v="60"/>
    <x v="0"/>
    <x v="0"/>
  </r>
  <r>
    <n v="422111"/>
    <x v="0"/>
    <n v="7"/>
    <x v="1"/>
    <n v="15"/>
    <x v="1"/>
    <x v="0"/>
  </r>
  <r>
    <n v="422112"/>
    <x v="1"/>
    <n v="2"/>
    <x v="0"/>
    <n v="20"/>
    <x v="0"/>
    <x v="0"/>
  </r>
  <r>
    <n v="422112"/>
    <x v="1"/>
    <n v="8"/>
    <x v="2"/>
    <n v="20"/>
    <x v="0"/>
    <x v="0"/>
  </r>
  <r>
    <n v="422113"/>
    <x v="1"/>
    <n v="2"/>
    <x v="0"/>
    <n v="50"/>
    <x v="0"/>
    <x v="0"/>
  </r>
  <r>
    <n v="422114"/>
    <x v="1"/>
    <n v="4"/>
    <x v="3"/>
    <n v="25"/>
    <x v="1"/>
    <x v="0"/>
  </r>
  <r>
    <n v="422114"/>
    <x v="1"/>
    <n v="6"/>
    <x v="4"/>
    <n v="15"/>
    <x v="0"/>
    <x v="0"/>
  </r>
  <r>
    <n v="422115"/>
    <x v="1"/>
    <n v="10"/>
    <x v="5"/>
    <n v="24"/>
    <x v="0"/>
    <x v="1"/>
  </r>
  <r>
    <n v="422117"/>
    <x v="1"/>
    <n v="2"/>
    <x v="0"/>
    <n v="10"/>
    <x v="0"/>
    <x v="1"/>
  </r>
  <r>
    <n v="422117"/>
    <x v="1"/>
    <n v="6"/>
    <x v="4"/>
    <n v="5"/>
    <x v="0"/>
    <x v="1"/>
  </r>
  <r>
    <n v="422118"/>
    <x v="2"/>
    <n v="7"/>
    <x v="1"/>
    <n v="16"/>
    <x v="1"/>
    <x v="2"/>
  </r>
  <r>
    <n v="422118"/>
    <x v="2"/>
    <n v="6"/>
    <x v="4"/>
    <n v="14"/>
    <x v="0"/>
    <x v="2"/>
  </r>
  <r>
    <n v="422118"/>
    <x v="2"/>
    <n v="11"/>
    <x v="6"/>
    <n v="10"/>
    <x v="0"/>
    <x v="2"/>
  </r>
  <r>
    <n v="422118"/>
    <x v="2"/>
    <n v="12"/>
    <x v="7"/>
    <n v="20"/>
    <x v="1"/>
    <x v="2"/>
  </r>
  <r>
    <n v="422119"/>
    <x v="2"/>
    <n v="4"/>
    <x v="3"/>
    <n v="25"/>
    <x v="1"/>
    <x v="2"/>
  </r>
  <r>
    <n v="422120"/>
    <x v="2"/>
    <n v="4"/>
    <x v="3"/>
    <n v="20"/>
    <x v="1"/>
    <x v="2"/>
  </r>
  <r>
    <n v="422120"/>
    <x v="2"/>
    <n v="5"/>
    <x v="8"/>
    <n v="15"/>
    <x v="0"/>
    <x v="2"/>
  </r>
  <r>
    <n v="422120"/>
    <x v="2"/>
    <n v="9"/>
    <x v="9"/>
    <n v="17"/>
    <x v="1"/>
    <x v="2"/>
  </r>
  <r>
    <n v="422121"/>
    <x v="2"/>
    <n v="7"/>
    <x v="1"/>
    <n v="15"/>
    <x v="1"/>
    <x v="3"/>
  </r>
  <r>
    <n v="422122"/>
    <x v="2"/>
    <n v="7"/>
    <x v="1"/>
    <n v="25"/>
    <x v="1"/>
    <x v="3"/>
  </r>
  <r>
    <n v="422123"/>
    <x v="2"/>
    <n v="4"/>
    <x v="3"/>
    <n v="43"/>
    <x v="1"/>
    <x v="3"/>
  </r>
  <r>
    <n v="422123"/>
    <x v="2"/>
    <n v="7"/>
    <x v="1"/>
    <n v="30"/>
    <x v="1"/>
    <x v="3"/>
  </r>
  <r>
    <n v="422124"/>
    <x v="2"/>
    <n v="5"/>
    <x v="8"/>
    <n v="20"/>
    <x v="0"/>
    <x v="3"/>
  </r>
  <r>
    <n v="422124"/>
    <x v="2"/>
    <n v="6"/>
    <x v="4"/>
    <n v="20"/>
    <x v="0"/>
    <x v="3"/>
  </r>
  <r>
    <n v="422125"/>
    <x v="2"/>
    <n v="11"/>
    <x v="6"/>
    <n v="10"/>
    <x v="0"/>
    <x v="1"/>
  </r>
  <r>
    <n v="422125"/>
    <x v="2"/>
    <n v="12"/>
    <x v="7"/>
    <n v="10"/>
    <x v="1"/>
    <x v="1"/>
  </r>
  <r>
    <n v="422126"/>
    <x v="2"/>
    <n v="8"/>
    <x v="2"/>
    <n v="44"/>
    <x v="0"/>
    <x v="1"/>
  </r>
  <r>
    <n v="422127"/>
    <x v="2"/>
    <n v="6"/>
    <x v="4"/>
    <n v="23"/>
    <x v="0"/>
    <x v="1"/>
  </r>
  <r>
    <n v="422128"/>
    <x v="2"/>
    <n v="5"/>
    <x v="8"/>
    <n v="22"/>
    <x v="0"/>
    <x v="1"/>
  </r>
  <r>
    <n v="422128"/>
    <x v="2"/>
    <n v="7"/>
    <x v="1"/>
    <n v="30"/>
    <x v="1"/>
    <x v="1"/>
  </r>
  <r>
    <n v="422129"/>
    <x v="2"/>
    <n v="12"/>
    <x v="7"/>
    <n v="15"/>
    <x v="1"/>
    <x v="1"/>
  </r>
  <r>
    <n v="422130"/>
    <x v="2"/>
    <n v="2"/>
    <x v="0"/>
    <n v="20"/>
    <x v="0"/>
    <x v="2"/>
  </r>
  <r>
    <n v="422131"/>
    <x v="2"/>
    <n v="4"/>
    <x v="3"/>
    <n v="20"/>
    <x v="1"/>
    <x v="2"/>
  </r>
  <r>
    <n v="422131"/>
    <x v="2"/>
    <n v="10"/>
    <x v="5"/>
    <n v="10"/>
    <x v="0"/>
    <x v="2"/>
  </r>
  <r>
    <n v="422133"/>
    <x v="3"/>
    <n v="7"/>
    <x v="1"/>
    <n v="20"/>
    <x v="1"/>
    <x v="2"/>
  </r>
  <r>
    <n v="422134"/>
    <x v="3"/>
    <n v="7"/>
    <x v="1"/>
    <n v="30"/>
    <x v="1"/>
    <x v="0"/>
  </r>
  <r>
    <n v="422134"/>
    <x v="3"/>
    <n v="8"/>
    <x v="2"/>
    <n v="20"/>
    <x v="0"/>
    <x v="0"/>
  </r>
  <r>
    <n v="422135"/>
    <x v="3"/>
    <n v="4"/>
    <x v="3"/>
    <n v="30"/>
    <x v="1"/>
    <x v="0"/>
  </r>
  <r>
    <n v="422135"/>
    <x v="3"/>
    <n v="12"/>
    <x v="7"/>
    <n v="15"/>
    <x v="1"/>
    <x v="0"/>
  </r>
  <r>
    <n v="422137"/>
    <x v="4"/>
    <n v="8"/>
    <x v="2"/>
    <n v="30"/>
    <x v="0"/>
    <x v="2"/>
  </r>
  <r>
    <n v="422137"/>
    <x v="4"/>
    <n v="10"/>
    <x v="5"/>
    <n v="15"/>
    <x v="0"/>
    <x v="2"/>
  </r>
  <r>
    <n v="422138"/>
    <x v="4"/>
    <n v="3"/>
    <x v="10"/>
    <n v="20"/>
    <x v="1"/>
    <x v="2"/>
  </r>
  <r>
    <n v="422139"/>
    <x v="4"/>
    <n v="4"/>
    <x v="3"/>
    <n v="20"/>
    <x v="1"/>
    <x v="2"/>
  </r>
  <r>
    <n v="422139"/>
    <x v="4"/>
    <n v="6"/>
    <x v="4"/>
    <n v="15"/>
    <x v="0"/>
    <x v="2"/>
  </r>
  <r>
    <n v="422140"/>
    <x v="4"/>
    <n v="6"/>
    <x v="4"/>
    <n v="50"/>
    <x v="0"/>
    <x v="2"/>
  </r>
  <r>
    <n v="422140"/>
    <x v="4"/>
    <n v="11"/>
    <x v="6"/>
    <n v="13"/>
    <x v="0"/>
    <x v="2"/>
  </r>
  <r>
    <n v="422141"/>
    <x v="4"/>
    <n v="12"/>
    <x v="7"/>
    <n v="7"/>
    <x v="1"/>
    <x v="3"/>
  </r>
  <r>
    <n v="422142"/>
    <x v="4"/>
    <n v="6"/>
    <x v="4"/>
    <n v="30"/>
    <x v="0"/>
    <x v="3"/>
  </r>
  <r>
    <n v="422143"/>
    <x v="4"/>
    <n v="6"/>
    <x v="4"/>
    <n v="40"/>
    <x v="0"/>
    <x v="3"/>
  </r>
  <r>
    <n v="422143"/>
    <x v="4"/>
    <n v="7"/>
    <x v="1"/>
    <n v="18"/>
    <x v="1"/>
    <x v="3"/>
  </r>
  <r>
    <n v="422144"/>
    <x v="5"/>
    <n v="6"/>
    <x v="4"/>
    <n v="30"/>
    <x v="0"/>
    <x v="3"/>
  </r>
  <r>
    <n v="422144"/>
    <x v="5"/>
    <n v="8"/>
    <x v="2"/>
    <n v="24"/>
    <x v="0"/>
    <x v="3"/>
  </r>
  <r>
    <n v="422145"/>
    <x v="5"/>
    <n v="3"/>
    <x v="10"/>
    <n v="22"/>
    <x v="1"/>
    <x v="1"/>
  </r>
  <r>
    <n v="422146"/>
    <x v="5"/>
    <n v="6"/>
    <x v="4"/>
    <n v="30"/>
    <x v="0"/>
    <x v="1"/>
  </r>
  <r>
    <n v="422146"/>
    <x v="5"/>
    <n v="7"/>
    <x v="1"/>
    <n v="25"/>
    <x v="1"/>
    <x v="1"/>
  </r>
  <r>
    <n v="422146"/>
    <x v="5"/>
    <n v="12"/>
    <x v="7"/>
    <n v="7"/>
    <x v="1"/>
    <x v="1"/>
  </r>
  <r>
    <n v="422147"/>
    <x v="5"/>
    <n v="4"/>
    <x v="3"/>
    <n v="17"/>
    <x v="1"/>
    <x v="1"/>
  </r>
  <r>
    <n v="422147"/>
    <x v="5"/>
    <n v="6"/>
    <x v="4"/>
    <n v="60"/>
    <x v="0"/>
    <x v="1"/>
  </r>
  <r>
    <n v="422147"/>
    <x v="5"/>
    <n v="7"/>
    <x v="1"/>
    <n v="30"/>
    <x v="1"/>
    <x v="1"/>
  </r>
  <r>
    <n v="422148"/>
    <x v="5"/>
    <n v="4"/>
    <x v="3"/>
    <n v="25"/>
    <x v="1"/>
    <x v="0"/>
  </r>
  <r>
    <n v="422148"/>
    <x v="5"/>
    <n v="8"/>
    <x v="2"/>
    <n v="7"/>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d v="2024-08-29T00:00:00"/>
    <x v="0"/>
    <s v="422111"/>
    <x v="0"/>
    <d v="1899-12-30T11:50:00"/>
    <d v="1899-12-30T14:05:00"/>
    <n v="9.375E-2"/>
    <n v="135"/>
    <n v="60"/>
    <n v="0.44444444444444398"/>
  </r>
  <r>
    <d v="2024-08-29T00:00:00"/>
    <x v="1"/>
    <s v="422112"/>
    <x v="0"/>
    <d v="1899-12-30T14:05:00"/>
    <d v="1899-12-30T15:45:00"/>
    <n v="6.9444444444444448E-2"/>
    <n v="100"/>
    <n v="60"/>
    <n v="0.6"/>
  </r>
  <r>
    <d v="2024-08-29T00:00:00"/>
    <x v="1"/>
    <s v="422113"/>
    <x v="0"/>
    <d v="1899-12-30T15:45:00"/>
    <d v="1899-12-30T17:35:00"/>
    <n v="7.6388888888888895E-2"/>
    <n v="110"/>
    <n v="60"/>
    <n v="0.54545454545454497"/>
  </r>
  <r>
    <d v="2024-08-29T00:00:00"/>
    <x v="1"/>
    <s v="422114"/>
    <x v="0"/>
    <d v="1899-12-30T17:35:00"/>
    <d v="1899-12-30T19:15:00"/>
    <n v="6.9444444444444448E-2"/>
    <n v="100"/>
    <n v="60"/>
    <n v="0.6"/>
  </r>
  <r>
    <d v="2024-08-29T00:00:00"/>
    <x v="1"/>
    <s v="422115"/>
    <x v="1"/>
    <d v="1899-12-30T19:15:00"/>
    <d v="1899-12-30T20:39:00"/>
    <n v="5.8333333333333334E-2"/>
    <n v="84"/>
    <n v="60"/>
    <n v="0.71428571428571397"/>
  </r>
  <r>
    <d v="2024-08-29T00:00:00"/>
    <x v="1"/>
    <s v="422116"/>
    <x v="1"/>
    <d v="1899-12-30T20:39:00"/>
    <d v="1899-12-30T21:39:00"/>
    <n v="4.1666666666666664E-2"/>
    <n v="60"/>
    <n v="60"/>
    <n v="1"/>
  </r>
  <r>
    <d v="2024-08-29T00:00:00"/>
    <x v="1"/>
    <s v="422117"/>
    <x v="1"/>
    <d v="1899-12-30T21:39:00"/>
    <d v="1899-12-30T22:54:00"/>
    <n v="5.2083333333333336E-2"/>
    <n v="75"/>
    <n v="60"/>
    <n v="0.8"/>
  </r>
  <r>
    <d v="2024-08-30T00:00:00"/>
    <x v="2"/>
    <s v="422118"/>
    <x v="2"/>
    <d v="1899-12-30T04:05:00"/>
    <d v="1899-12-30T06:05:00"/>
    <n v="8.3333333333333329E-2"/>
    <n v="120"/>
    <n v="60"/>
    <n v="0.5"/>
  </r>
  <r>
    <d v="2024-08-30T00:00:00"/>
    <x v="2"/>
    <s v="422119"/>
    <x v="2"/>
    <d v="1899-12-30T06:05:00"/>
    <d v="1899-12-30T07:30:00"/>
    <n v="5.9027777777777776E-2"/>
    <n v="85"/>
    <n v="60"/>
    <n v="0.70588235294117596"/>
  </r>
  <r>
    <d v="2024-08-30T00:00:00"/>
    <x v="2"/>
    <s v="422120"/>
    <x v="2"/>
    <d v="1899-12-30T07:30:00"/>
    <d v="1899-12-30T09:22:00"/>
    <n v="7.7777777777777779E-2"/>
    <n v="112"/>
    <n v="60"/>
    <n v="0.53571428571428603"/>
  </r>
  <r>
    <d v="2024-08-30T00:00:00"/>
    <x v="2"/>
    <s v="422121"/>
    <x v="3"/>
    <d v="1899-12-30T09:22:00"/>
    <d v="1899-12-30T10:37:00"/>
    <n v="5.2083333333333336E-2"/>
    <n v="75"/>
    <n v="60"/>
    <n v="0.8"/>
  </r>
  <r>
    <d v="2024-08-30T00:00:00"/>
    <x v="2"/>
    <s v="422122"/>
    <x v="3"/>
    <d v="1899-12-30T10:37:00"/>
    <d v="1899-12-30T12:02:00"/>
    <n v="5.9027777777777776E-2"/>
    <n v="85"/>
    <n v="60"/>
    <n v="0.70588235294117596"/>
  </r>
  <r>
    <d v="2024-08-30T00:00:00"/>
    <x v="2"/>
    <s v="422123"/>
    <x v="3"/>
    <d v="1899-12-30T12:02:00"/>
    <d v="1899-12-30T14:15:00"/>
    <n v="9.2361111111111116E-2"/>
    <n v="133"/>
    <n v="60"/>
    <n v="0.45112781954887199"/>
  </r>
  <r>
    <d v="2024-08-30T00:00:00"/>
    <x v="2"/>
    <s v="422124"/>
    <x v="3"/>
    <d v="1899-12-30T14:15:00"/>
    <d v="1899-12-30T15:55:00"/>
    <n v="6.9444444444444448E-2"/>
    <n v="100"/>
    <n v="60"/>
    <n v="0.6"/>
  </r>
  <r>
    <d v="2024-08-30T00:00:00"/>
    <x v="2"/>
    <s v="422125"/>
    <x v="1"/>
    <d v="1899-12-30T15:55:00"/>
    <d v="1899-12-30T17:15:00"/>
    <n v="5.5555555555555552E-2"/>
    <n v="80"/>
    <n v="60"/>
    <n v="0.75"/>
  </r>
  <r>
    <d v="2024-08-30T00:00:00"/>
    <x v="2"/>
    <s v="422126"/>
    <x v="1"/>
    <d v="1899-12-30T17:15:00"/>
    <d v="1899-12-30T18:59:00"/>
    <n v="7.2222222222222215E-2"/>
    <n v="104"/>
    <n v="60"/>
    <n v="0.57692307692307698"/>
  </r>
  <r>
    <d v="2024-08-30T00:00:00"/>
    <x v="2"/>
    <s v="422127"/>
    <x v="1"/>
    <d v="1899-12-30T18:59:00"/>
    <d v="1899-12-30T20:22:00"/>
    <n v="5.7638888888888892E-2"/>
    <n v="83"/>
    <n v="60"/>
    <n v="0.72289156626506001"/>
  </r>
  <r>
    <d v="2024-08-30T00:00:00"/>
    <x v="2"/>
    <s v="422128"/>
    <x v="1"/>
    <d v="1899-12-30T20:22:00"/>
    <d v="1899-12-30T22:14:00"/>
    <n v="7.7777777777777779E-2"/>
    <n v="112"/>
    <n v="60"/>
    <n v="0.53571428571428603"/>
  </r>
  <r>
    <d v="2024-08-30T00:00:00"/>
    <x v="2"/>
    <s v="422129"/>
    <x v="1"/>
    <d v="1899-12-30T22:14:00"/>
    <d v="1899-12-30T23:29:00"/>
    <n v="5.2083333333333336E-2"/>
    <n v="75"/>
    <n v="60"/>
    <n v="0.8"/>
  </r>
  <r>
    <d v="2024-08-31T00:00:00"/>
    <x v="2"/>
    <s v="422130"/>
    <x v="2"/>
    <d v="1899-12-30T07:45:00"/>
    <d v="1899-12-30T09:05:00"/>
    <n v="5.5555555555555552E-2"/>
    <n v="80"/>
    <n v="60"/>
    <n v="0.75"/>
  </r>
  <r>
    <d v="2024-08-31T00:00:00"/>
    <x v="2"/>
    <s v="422131"/>
    <x v="2"/>
    <d v="1899-12-30T09:05:00"/>
    <d v="1899-12-30T10:35:00"/>
    <n v="6.25E-2"/>
    <n v="90"/>
    <n v="60"/>
    <n v="0.66666666666666696"/>
  </r>
  <r>
    <d v="2024-08-31T00:00:00"/>
    <x v="2"/>
    <s v="422132"/>
    <x v="2"/>
    <d v="1899-12-30T10:35:00"/>
    <d v="1899-12-30T11:35:00"/>
    <n v="4.1666666666666664E-2"/>
    <n v="60"/>
    <n v="60"/>
    <n v="1"/>
  </r>
  <r>
    <d v="2024-08-31T00:00:00"/>
    <x v="3"/>
    <s v="422133"/>
    <x v="2"/>
    <d v="1899-12-30T11:35:00"/>
    <d v="1899-12-30T12:55:00"/>
    <n v="5.5555555555555552E-2"/>
    <n v="80"/>
    <n v="60"/>
    <n v="0.75"/>
  </r>
  <r>
    <d v="2024-08-31T00:00:00"/>
    <x v="3"/>
    <s v="422134"/>
    <x v="0"/>
    <d v="1899-12-30T12:55:00"/>
    <d v="1899-12-30T14:45:00"/>
    <n v="7.6388888888888895E-2"/>
    <n v="110"/>
    <n v="60"/>
    <n v="0.54545454545454497"/>
  </r>
  <r>
    <d v="2024-08-31T00:00:00"/>
    <x v="3"/>
    <s v="422135"/>
    <x v="0"/>
    <d v="1899-12-30T14:45:00"/>
    <d v="1899-12-30T16:30:00"/>
    <n v="7.2916666666666671E-2"/>
    <n v="105"/>
    <n v="60"/>
    <n v="0.57142857142857095"/>
  </r>
  <r>
    <d v="2024-08-31T00:00:00"/>
    <x v="3"/>
    <s v="422136"/>
    <x v="0"/>
    <d v="1899-12-30T16:30:00"/>
    <d v="1899-12-30T17:30:00"/>
    <n v="4.1666666666666664E-2"/>
    <n v="60"/>
    <n v="60"/>
    <n v="1"/>
  </r>
  <r>
    <d v="2024-09-02T00:00:00"/>
    <x v="4"/>
    <s v="422137"/>
    <x v="2"/>
    <d v="1899-12-30T01:00:00"/>
    <d v="1899-12-30T02:45:00"/>
    <n v="7.2916666666666671E-2"/>
    <n v="105"/>
    <n v="60"/>
    <n v="0.57142857142857095"/>
  </r>
  <r>
    <d v="2024-09-02T00:00:00"/>
    <x v="4"/>
    <s v="422138"/>
    <x v="2"/>
    <d v="1899-12-30T02:45:00"/>
    <d v="1899-12-30T04:05:00"/>
    <n v="5.5555555555555552E-2"/>
    <n v="80"/>
    <n v="60"/>
    <n v="0.75"/>
  </r>
  <r>
    <d v="2024-09-02T00:00:00"/>
    <x v="4"/>
    <s v="422139"/>
    <x v="2"/>
    <d v="1899-12-30T04:05:00"/>
    <d v="1899-12-30T05:40:00"/>
    <n v="6.5972222222222224E-2"/>
    <n v="95"/>
    <n v="60"/>
    <n v="0.63157894736842102"/>
  </r>
  <r>
    <d v="2024-09-02T00:00:00"/>
    <x v="4"/>
    <s v="422140"/>
    <x v="2"/>
    <d v="1899-12-30T05:40:00"/>
    <d v="1899-12-30T07:43:00"/>
    <n v="8.5416666666666669E-2"/>
    <n v="123"/>
    <n v="60"/>
    <n v="0.48780487804877998"/>
  </r>
  <r>
    <d v="2024-09-02T00:00:00"/>
    <x v="4"/>
    <s v="422141"/>
    <x v="3"/>
    <d v="1899-12-30T07:43:00"/>
    <d v="1899-12-30T08:50:00"/>
    <n v="4.6527777777777779E-2"/>
    <n v="67"/>
    <n v="60"/>
    <n v="0.89552238805970197"/>
  </r>
  <r>
    <d v="2024-09-02T00:00:00"/>
    <x v="4"/>
    <s v="422142"/>
    <x v="3"/>
    <d v="1899-12-30T08:50:00"/>
    <d v="1899-12-30T10:20:00"/>
    <n v="6.25E-2"/>
    <n v="90"/>
    <n v="60"/>
    <n v="0.66666666666666696"/>
  </r>
  <r>
    <d v="2024-09-02T00:00:00"/>
    <x v="4"/>
    <s v="422143"/>
    <x v="3"/>
    <d v="1899-12-30T10:20:00"/>
    <d v="1899-12-30T12:18:00"/>
    <n v="8.1944444444444445E-2"/>
    <n v="118"/>
    <n v="60"/>
    <n v="0.50847457627118597"/>
  </r>
  <r>
    <d v="2024-09-02T00:00:00"/>
    <x v="5"/>
    <s v="422144"/>
    <x v="3"/>
    <d v="1899-12-30T12:18:00"/>
    <d v="1899-12-30T14:50:00"/>
    <n v="0.10555555555555556"/>
    <n v="152"/>
    <n v="98"/>
    <n v="0.64473684210526305"/>
  </r>
  <r>
    <d v="2024-09-02T00:00:00"/>
    <x v="5"/>
    <s v="422145"/>
    <x v="1"/>
    <d v="1899-12-30T14:50:00"/>
    <d v="1899-12-30T16:50:00"/>
    <n v="8.3333333333333329E-2"/>
    <n v="120"/>
    <n v="98"/>
    <n v="0.81666666666666698"/>
  </r>
  <r>
    <d v="2024-09-02T00:00:00"/>
    <x v="5"/>
    <s v="422146"/>
    <x v="1"/>
    <d v="1899-12-30T16:50:00"/>
    <d v="1899-12-30T19:30:00"/>
    <n v="0.1111111111111111"/>
    <n v="160"/>
    <n v="98"/>
    <n v="0.61250000000000004"/>
  </r>
  <r>
    <d v="2024-09-02T00:00:00"/>
    <x v="5"/>
    <s v="422147"/>
    <x v="1"/>
    <d v="1899-12-30T19:30:00"/>
    <d v="1899-12-30T22:55:00"/>
    <n v="0.1423611111111111"/>
    <n v="205"/>
    <n v="98"/>
    <n v="0.47804878048780503"/>
  </r>
  <r>
    <d v="2024-09-03T00:00:00"/>
    <x v="5"/>
    <s v="422148"/>
    <x v="0"/>
    <d v="1899-12-30T22:55:00"/>
    <d v="1899-12-30T01:05:00"/>
    <n v="9.0277777777777776E-2"/>
    <n v="130"/>
    <n v="98"/>
    <n v="0.753846153846154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5CFCA4-3BAC-4514-8AD0-1E4887C51AAD}"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5:D104" firstHeaderRow="1" firstDataRow="2" firstDataCol="1"/>
  <pivotFields count="7">
    <pivotField showAll="0"/>
    <pivotField showAll="0">
      <items count="7">
        <item x="5"/>
        <item x="2"/>
        <item x="3"/>
        <item x="1"/>
        <item x="0"/>
        <item x="4"/>
        <item t="default"/>
      </items>
    </pivotField>
    <pivotField showAll="0"/>
    <pivotField axis="axisRow" dataField="1" showAll="0">
      <items count="12">
        <item x="0"/>
        <item x="2"/>
        <item x="5"/>
        <item x="9"/>
        <item x="3"/>
        <item x="6"/>
        <item x="10"/>
        <item x="4"/>
        <item x="1"/>
        <item x="7"/>
        <item x="8"/>
        <item t="default"/>
      </items>
    </pivotField>
    <pivotField showAll="0"/>
    <pivotField axis="axisCol" showAll="0">
      <items count="3">
        <item x="1"/>
        <item x="0"/>
        <item t="default"/>
      </items>
    </pivotField>
    <pivotField axis="axisRow" showAll="0">
      <items count="5">
        <item x="1"/>
        <item x="2"/>
        <item x="3"/>
        <item x="0"/>
        <item t="default"/>
      </items>
    </pivotField>
  </pivotFields>
  <rowFields count="2">
    <field x="6"/>
    <field x="3"/>
  </rowFields>
  <rowItems count="38">
    <i>
      <x/>
    </i>
    <i r="1">
      <x/>
    </i>
    <i r="1">
      <x v="1"/>
    </i>
    <i r="1">
      <x v="2"/>
    </i>
    <i r="1">
      <x v="4"/>
    </i>
    <i r="1">
      <x v="5"/>
    </i>
    <i r="1">
      <x v="6"/>
    </i>
    <i r="1">
      <x v="7"/>
    </i>
    <i r="1">
      <x v="8"/>
    </i>
    <i r="1">
      <x v="9"/>
    </i>
    <i r="1">
      <x v="10"/>
    </i>
    <i>
      <x v="1"/>
    </i>
    <i r="1">
      <x/>
    </i>
    <i r="1">
      <x v="1"/>
    </i>
    <i r="1">
      <x v="2"/>
    </i>
    <i r="1">
      <x v="3"/>
    </i>
    <i r="1">
      <x v="4"/>
    </i>
    <i r="1">
      <x v="5"/>
    </i>
    <i r="1">
      <x v="6"/>
    </i>
    <i r="1">
      <x v="7"/>
    </i>
    <i r="1">
      <x v="8"/>
    </i>
    <i r="1">
      <x v="9"/>
    </i>
    <i r="1">
      <x v="10"/>
    </i>
    <i>
      <x v="2"/>
    </i>
    <i r="1">
      <x v="1"/>
    </i>
    <i r="1">
      <x v="4"/>
    </i>
    <i r="1">
      <x v="7"/>
    </i>
    <i r="1">
      <x v="8"/>
    </i>
    <i r="1">
      <x v="9"/>
    </i>
    <i r="1">
      <x v="10"/>
    </i>
    <i>
      <x v="3"/>
    </i>
    <i r="1">
      <x/>
    </i>
    <i r="1">
      <x v="1"/>
    </i>
    <i r="1">
      <x v="4"/>
    </i>
    <i r="1">
      <x v="7"/>
    </i>
    <i r="1">
      <x v="8"/>
    </i>
    <i r="1">
      <x v="9"/>
    </i>
    <i t="grand">
      <x/>
    </i>
  </rowItems>
  <colFields count="1">
    <field x="5"/>
  </colFields>
  <colItems count="3">
    <i>
      <x/>
    </i>
    <i>
      <x v="1"/>
    </i>
    <i t="grand">
      <x/>
    </i>
  </colItems>
  <dataFields count="1">
    <dataField name="Count of Downtime Description" fld="3" subtotal="count" baseField="0" baseItem="0"/>
  </dataFields>
  <chartFormats count="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3" format="6">
      <pivotArea type="data" outline="0" fieldPosition="0">
        <references count="4">
          <reference field="4294967294" count="1" selected="0">
            <x v="0"/>
          </reference>
          <reference field="3" count="1" selected="0">
            <x v="4"/>
          </reference>
          <reference field="5"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24042C-5818-4BB8-83DB-84CAC153779B}"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61" firstHeaderRow="1" firstDataRow="2" firstDataCol="1"/>
  <pivotFields count="7">
    <pivotField showAll="0"/>
    <pivotField axis="axisRow" showAll="0">
      <items count="7">
        <item x="5"/>
        <item x="2"/>
        <item x="3"/>
        <item x="1"/>
        <item x="0"/>
        <item x="4"/>
        <item t="default"/>
      </items>
    </pivotField>
    <pivotField showAll="0"/>
    <pivotField axis="axisRow" showAll="0">
      <items count="12">
        <item x="0"/>
        <item x="2"/>
        <item x="5"/>
        <item x="9"/>
        <item x="3"/>
        <item x="6"/>
        <item x="10"/>
        <item x="4"/>
        <item x="1"/>
        <item x="7"/>
        <item x="8"/>
        <item t="default"/>
      </items>
    </pivotField>
    <pivotField showAll="0"/>
    <pivotField axis="axisCol" dataField="1" showAll="0">
      <items count="3">
        <item x="1"/>
        <item x="0"/>
        <item t="default"/>
      </items>
    </pivotField>
    <pivotField showAll="0">
      <items count="5">
        <item x="1"/>
        <item x="2"/>
        <item x="3"/>
        <item x="0"/>
        <item t="default"/>
      </items>
    </pivotField>
  </pivotFields>
  <rowFields count="2">
    <field x="1"/>
    <field x="3"/>
  </rowFields>
  <rowItems count="42">
    <i>
      <x/>
    </i>
    <i r="1">
      <x v="1"/>
    </i>
    <i r="1">
      <x v="4"/>
    </i>
    <i r="1">
      <x v="6"/>
    </i>
    <i r="1">
      <x v="7"/>
    </i>
    <i r="1">
      <x v="8"/>
    </i>
    <i r="1">
      <x v="9"/>
    </i>
    <i>
      <x v="1"/>
    </i>
    <i r="1">
      <x/>
    </i>
    <i r="1">
      <x v="1"/>
    </i>
    <i r="1">
      <x v="2"/>
    </i>
    <i r="1">
      <x v="3"/>
    </i>
    <i r="1">
      <x v="4"/>
    </i>
    <i r="1">
      <x v="5"/>
    </i>
    <i r="1">
      <x v="7"/>
    </i>
    <i r="1">
      <x v="8"/>
    </i>
    <i r="1">
      <x v="9"/>
    </i>
    <i r="1">
      <x v="10"/>
    </i>
    <i>
      <x v="2"/>
    </i>
    <i r="1">
      <x v="1"/>
    </i>
    <i r="1">
      <x v="4"/>
    </i>
    <i r="1">
      <x v="8"/>
    </i>
    <i r="1">
      <x v="9"/>
    </i>
    <i>
      <x v="3"/>
    </i>
    <i r="1">
      <x/>
    </i>
    <i r="1">
      <x v="1"/>
    </i>
    <i r="1">
      <x v="2"/>
    </i>
    <i r="1">
      <x v="4"/>
    </i>
    <i r="1">
      <x v="7"/>
    </i>
    <i>
      <x v="4"/>
    </i>
    <i r="1">
      <x/>
    </i>
    <i r="1">
      <x v="8"/>
    </i>
    <i>
      <x v="5"/>
    </i>
    <i r="1">
      <x v="1"/>
    </i>
    <i r="1">
      <x v="2"/>
    </i>
    <i r="1">
      <x v="4"/>
    </i>
    <i r="1">
      <x v="5"/>
    </i>
    <i r="1">
      <x v="6"/>
    </i>
    <i r="1">
      <x v="7"/>
    </i>
    <i r="1">
      <x v="8"/>
    </i>
    <i r="1">
      <x v="9"/>
    </i>
    <i t="grand">
      <x/>
    </i>
  </rowItems>
  <colFields count="1">
    <field x="5"/>
  </colFields>
  <colItems count="3">
    <i>
      <x/>
    </i>
    <i>
      <x v="1"/>
    </i>
    <i t="grand">
      <x/>
    </i>
  </colItems>
  <dataFields count="1">
    <dataField name="Count of Operator Error" fld="5" subtotal="count"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3291B9-C699-43A9-B56D-D99D8DE12C6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B14" firstHeaderRow="1" firstDataRow="1" firstDataCol="1"/>
  <pivotFields count="7">
    <pivotField showAll="0"/>
    <pivotField showAll="0">
      <items count="7">
        <item x="5"/>
        <item x="2"/>
        <item x="3"/>
        <item x="1"/>
        <item x="0"/>
        <item x="4"/>
        <item t="default"/>
      </items>
    </pivotField>
    <pivotField showAll="0"/>
    <pivotField axis="axisRow" dataField="1" showAll="0">
      <items count="12">
        <item x="0"/>
        <item x="2"/>
        <item x="5"/>
        <item x="9"/>
        <item x="3"/>
        <item x="6"/>
        <item x="10"/>
        <item x="4"/>
        <item x="1"/>
        <item x="7"/>
        <item x="8"/>
        <item t="default"/>
      </items>
    </pivotField>
    <pivotField showAll="0"/>
    <pivotField showAll="0">
      <items count="3">
        <item x="1"/>
        <item x="0"/>
        <item t="default"/>
      </items>
    </pivotField>
    <pivotField showAll="0">
      <items count="5">
        <item x="1"/>
        <item x="2"/>
        <item x="3"/>
        <item x="0"/>
        <item t="default"/>
      </items>
    </pivotField>
  </pivotFields>
  <rowFields count="1">
    <field x="3"/>
  </rowFields>
  <rowItems count="12">
    <i>
      <x/>
    </i>
    <i>
      <x v="1"/>
    </i>
    <i>
      <x v="2"/>
    </i>
    <i>
      <x v="3"/>
    </i>
    <i>
      <x v="4"/>
    </i>
    <i>
      <x v="5"/>
    </i>
    <i>
      <x v="6"/>
    </i>
    <i>
      <x v="7"/>
    </i>
    <i>
      <x v="8"/>
    </i>
    <i>
      <x v="9"/>
    </i>
    <i>
      <x v="10"/>
    </i>
    <i t="grand">
      <x/>
    </i>
  </rowItems>
  <colItems count="1">
    <i/>
  </colItems>
  <dataFields count="1">
    <dataField name="Count of Downtime Description" fld="3" subtotal="count" baseField="0" baseItem="0"/>
  </dataFields>
  <formats count="1">
    <format dxfId="20">
      <pivotArea collapsedLevelsAreSubtotals="1" fieldPosition="0">
        <references count="1">
          <reference field="3" count="0"/>
        </references>
      </pivotArea>
    </format>
  </formats>
  <chartFormats count="3">
    <chartFormat chart="0" format="23" series="1">
      <pivotArea type="data" outline="0" fieldPosition="0">
        <references count="1">
          <reference field="4294967294" count="1" selected="0">
            <x v="0"/>
          </reference>
        </references>
      </pivotArea>
    </chartFormat>
    <chartFormat chart="8" format="24" series="1">
      <pivotArea type="data" outline="0" fieldPosition="0">
        <references count="1">
          <reference field="4294967294" count="1" selected="0">
            <x v="0"/>
          </reference>
        </references>
      </pivotArea>
    </chartFormat>
    <chartFormat chart="9"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C24BAD-B199-460D-A457-F8EAE1CAB98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B42" firstHeaderRow="1" firstDataRow="1" firstDataCol="1"/>
  <pivotFields count="7">
    <pivotField showAll="0"/>
    <pivotField axis="axisRow" dataField="1" showAll="0">
      <items count="7">
        <item x="5"/>
        <item x="2"/>
        <item x="3"/>
        <item x="1"/>
        <item x="0"/>
        <item x="4"/>
        <item t="default"/>
      </items>
    </pivotField>
    <pivotField showAll="0"/>
    <pivotField showAll="0"/>
    <pivotField showAll="0"/>
    <pivotField showAll="0">
      <items count="3">
        <item x="1"/>
        <item x="0"/>
        <item t="default"/>
      </items>
    </pivotField>
    <pivotField axis="axisRow" showAll="0">
      <items count="5">
        <item x="1"/>
        <item x="2"/>
        <item x="3"/>
        <item x="0"/>
        <item t="default"/>
      </items>
    </pivotField>
  </pivotFields>
  <rowFields count="2">
    <field x="6"/>
    <field x="1"/>
  </rowFields>
  <rowItems count="18">
    <i>
      <x/>
    </i>
    <i r="1">
      <x/>
    </i>
    <i r="1">
      <x v="1"/>
    </i>
    <i r="1">
      <x v="3"/>
    </i>
    <i>
      <x v="1"/>
    </i>
    <i r="1">
      <x v="1"/>
    </i>
    <i r="1">
      <x v="2"/>
    </i>
    <i r="1">
      <x v="5"/>
    </i>
    <i>
      <x v="2"/>
    </i>
    <i r="1">
      <x/>
    </i>
    <i r="1">
      <x v="1"/>
    </i>
    <i r="1">
      <x v="5"/>
    </i>
    <i>
      <x v="3"/>
    </i>
    <i r="1">
      <x/>
    </i>
    <i r="1">
      <x v="2"/>
    </i>
    <i r="1">
      <x v="3"/>
    </i>
    <i r="1">
      <x v="4"/>
    </i>
    <i t="grand">
      <x/>
    </i>
  </rowItems>
  <colItems count="1">
    <i/>
  </colItems>
  <dataFields count="1">
    <dataField name="Count of Product"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AF7ED8-178B-4823-AC19-A5A9C84CBBD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9" firstHeaderRow="1" firstDataRow="2" firstDataCol="1"/>
  <pivotFields count="7">
    <pivotField showAll="0"/>
    <pivotField showAll="0">
      <items count="7">
        <item x="5"/>
        <item x="2"/>
        <item h="1" x="3"/>
        <item x="1"/>
        <item h="1" x="0"/>
        <item x="4"/>
        <item t="default"/>
      </items>
    </pivotField>
    <pivotField showAll="0"/>
    <pivotField showAll="0"/>
    <pivotField showAll="0"/>
    <pivotField axis="axisCol" dataField="1" showAll="0">
      <items count="3">
        <item x="1"/>
        <item x="0"/>
        <item t="default"/>
      </items>
    </pivotField>
    <pivotField axis="axisRow" showAll="0">
      <items count="5">
        <item x="1"/>
        <item x="2"/>
        <item x="3"/>
        <item x="0"/>
        <item t="default"/>
      </items>
    </pivotField>
  </pivotFields>
  <rowFields count="1">
    <field x="6"/>
  </rowFields>
  <rowItems count="5">
    <i>
      <x/>
    </i>
    <i>
      <x v="1"/>
    </i>
    <i>
      <x v="2"/>
    </i>
    <i>
      <x v="3"/>
    </i>
    <i t="grand">
      <x/>
    </i>
  </rowItems>
  <colFields count="1">
    <field x="5"/>
  </colFields>
  <colItems count="3">
    <i>
      <x/>
    </i>
    <i>
      <x v="1"/>
    </i>
    <i t="grand">
      <x/>
    </i>
  </colItems>
  <dataFields count="1">
    <dataField name="Count of Operator Error" fld="5" subtotal="count" baseField="0" baseItem="0"/>
  </dataFields>
  <chartFormats count="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2B4762-A18A-4C62-9070-B3698AC9D49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0" firstHeaderRow="0" firstDataRow="1" firstDataCol="1"/>
  <pivotFields count="11">
    <pivotField numFmtId="14" showAll="0"/>
    <pivotField axis="axisRow" showAll="0">
      <items count="7">
        <item x="5"/>
        <item x="2"/>
        <item x="3"/>
        <item x="1"/>
        <item x="0"/>
        <item x="4"/>
        <item t="default"/>
      </items>
    </pivotField>
    <pivotField showAll="0"/>
    <pivotField showAll="0"/>
    <pivotField numFmtId="166" showAll="0"/>
    <pivotField numFmtId="166" showAll="0"/>
    <pivotField showAll="0"/>
    <pivotField dataField="1" showAll="0"/>
    <pivotField dataField="1" showAll="0"/>
    <pivotField numFmtId="10" showAll="0"/>
    <pivotField dataField="1" dragToRow="0" dragToCol="0" dragToPage="0" showAll="0" defaultSubtotal="0"/>
  </pivotFields>
  <rowFields count="1">
    <field x="1"/>
  </rowFields>
  <rowItems count="7">
    <i>
      <x/>
    </i>
    <i>
      <x v="1"/>
    </i>
    <i>
      <x v="2"/>
    </i>
    <i>
      <x v="3"/>
    </i>
    <i>
      <x v="4"/>
    </i>
    <i>
      <x v="5"/>
    </i>
    <i t="grand">
      <x/>
    </i>
  </rowItems>
  <colFields count="1">
    <field x="-2"/>
  </colFields>
  <colItems count="3">
    <i>
      <x/>
    </i>
    <i i="1">
      <x v="1"/>
    </i>
    <i i="2">
      <x v="2"/>
    </i>
  </colItems>
  <dataFields count="3">
    <dataField name="Sum of Total Minutes" fld="7" baseField="1" baseItem="2"/>
    <dataField name="Sum of Min batch time" fld="8" baseField="0" baseItem="0"/>
    <dataField name="Product Efficiency" fld="10" baseField="1" baseItem="0" numFmtId="2"/>
  </dataFields>
  <formats count="1">
    <format dxfId="19">
      <pivotArea outline="0" collapsedLevelsAreSubtotals="1" fieldPosition="0">
        <references count="1">
          <reference field="4294967294" count="1" selected="0">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2"/>
          </reference>
          <reference field="1" count="1" selected="0">
            <x v="1"/>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1"/>
          </reference>
        </references>
      </pivotArea>
    </chartFormat>
    <chartFormat chart="3" format="11" series="1">
      <pivotArea type="data" outline="0" fieldPosition="0">
        <references count="1">
          <reference field="4294967294" count="1" selected="0">
            <x v="2"/>
          </reference>
        </references>
      </pivotArea>
    </chartFormat>
    <chartFormat chart="3" format="12">
      <pivotArea type="data" outline="0" fieldPosition="0">
        <references count="2">
          <reference field="4294967294" count="1" selected="0">
            <x v="2"/>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653926-17E3-4EB8-A39B-4A215A2F3F18}"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7:B24" firstHeaderRow="1" firstDataRow="1" firstDataCol="1"/>
  <pivotFields count="11">
    <pivotField numFmtId="14" showAll="0"/>
    <pivotField axis="axisRow" showAll="0">
      <items count="7">
        <item x="5"/>
        <item x="2"/>
        <item x="3"/>
        <item x="1"/>
        <item x="0"/>
        <item x="4"/>
        <item t="default"/>
      </items>
    </pivotField>
    <pivotField dataField="1" showAll="0"/>
    <pivotField showAll="0"/>
    <pivotField numFmtId="166" showAll="0"/>
    <pivotField numFmtId="166" showAll="0"/>
    <pivotField showAll="0"/>
    <pivotField showAll="0"/>
    <pivotField showAll="0"/>
    <pivotField numFmtId="10" showAll="0"/>
    <pivotField dragToRow="0" dragToCol="0" dragToPage="0" showAll="0" defaultSubtotal="0"/>
  </pivotFields>
  <rowFields count="1">
    <field x="1"/>
  </rowFields>
  <rowItems count="7">
    <i>
      <x/>
    </i>
    <i>
      <x v="1"/>
    </i>
    <i>
      <x v="2"/>
    </i>
    <i>
      <x v="3"/>
    </i>
    <i>
      <x v="4"/>
    </i>
    <i>
      <x v="5"/>
    </i>
    <i t="grand">
      <x/>
    </i>
  </rowItems>
  <colItems count="1">
    <i/>
  </colItems>
  <dataFields count="1">
    <dataField name="Count of Batch" fld="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60D321-0EF9-4EB0-9AEB-F12DD823BCF9}" name="PivotTable15"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3">
  <location ref="A3:B6" firstHeaderRow="1" firstDataRow="1" firstDataCol="1"/>
  <pivotFields count="7">
    <pivotField showAll="0"/>
    <pivotField showAll="0">
      <items count="7">
        <item x="5"/>
        <item x="2"/>
        <item h="1" x="3"/>
        <item x="1"/>
        <item h="1" x="0"/>
        <item x="4"/>
        <item t="default"/>
      </items>
    </pivotField>
    <pivotField showAll="0"/>
    <pivotField showAll="0"/>
    <pivotField showAll="0"/>
    <pivotField axis="axisRow" dataField="1" showAll="0">
      <items count="3">
        <item x="1"/>
        <item x="0"/>
        <item t="default"/>
      </items>
    </pivotField>
    <pivotField showAll="0">
      <items count="5">
        <item x="1"/>
        <item x="2"/>
        <item x="3"/>
        <item x="0"/>
        <item t="default"/>
      </items>
    </pivotField>
  </pivotFields>
  <rowFields count="1">
    <field x="5"/>
  </rowFields>
  <rowItems count="3">
    <i>
      <x/>
    </i>
    <i>
      <x v="1"/>
    </i>
    <i t="grand">
      <x/>
    </i>
  </rowItems>
  <colItems count="1">
    <i/>
  </colItems>
  <dataFields count="1">
    <dataField name="Count of Operator Error" fld="5"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28730440-7FB4-47F7-9B24-579A23ABBFF5}" autoFormatId="16" applyNumberFormats="0" applyBorderFormats="0" applyFontFormats="0" applyPatternFormats="0" applyAlignmentFormats="0" applyWidthHeightFormats="0">
  <queryTableRefresh nextId="14">
    <queryTableFields count="9">
      <queryTableField id="1" name="Date" tableColumnId="1"/>
      <queryTableField id="2" name="Product" tableColumnId="2"/>
      <queryTableField id="3" name="Batch" tableColumnId="3"/>
      <queryTableField id="4" name="Operator" tableColumnId="4"/>
      <queryTableField id="5" name="Start Time" tableColumnId="5"/>
      <queryTableField id="6" name="End Time" tableColumnId="6"/>
      <queryTableField id="10" name="Duration" tableColumnId="10"/>
      <queryTableField id="11" name="Total Minutes" tableColumnId="11"/>
      <queryTableField id="12" name="Min batch tim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9FFAA137-3376-4089-927E-97AA73CD0B50}" autoFormatId="16" applyNumberFormats="0" applyBorderFormats="0" applyFontFormats="0" applyPatternFormats="0" applyAlignmentFormats="0" applyWidthHeightFormats="0">
  <queryTableRefresh nextId="16">
    <queryTableFields count="6">
      <queryTableField id="1" name="Batch" tableColumnId="1"/>
      <queryTableField id="11" name="Product" tableColumnId="9"/>
      <queryTableField id="2" name="Downtime Factor" tableColumnId="2"/>
      <queryTableField id="14" name="Downtime Description" tableColumnId="11"/>
      <queryTableField id="3" name="Downtime" tableColumnId="3"/>
      <queryTableField id="4" name="Operator Error"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76F3A964-25E5-4486-9078-EE2160886423}" autoFormatId="16" applyNumberFormats="0" applyBorderFormats="0" applyFontFormats="0" applyPatternFormats="0" applyAlignmentFormats="0" applyWidthHeightFormats="0">
  <queryTableRefresh nextId="4">
    <queryTableFields count="3">
      <queryTableField id="1" name="Factor" tableColumnId="1"/>
      <queryTableField id="2" name="Description" tableColumnId="2"/>
      <queryTableField id="3" name="Operator Error"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482134FC-4333-479D-989B-F1EFBF7E73D4}" autoFormatId="16" applyNumberFormats="0" applyBorderFormats="0" applyFontFormats="0" applyPatternFormats="0" applyAlignmentFormats="0" applyWidthHeightFormats="0">
  <queryTableRefresh nextId="5">
    <queryTableFields count="4">
      <queryTableField id="1" name="Product" tableColumnId="1"/>
      <queryTableField id="2" name="Flavor" tableColumnId="2"/>
      <queryTableField id="3" name="Size" tableColumnId="3"/>
      <queryTableField id="4" name="Min batch ti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_Error" xr10:uid="{0639F65B-938B-4CF2-9EA0-9F72FD99A2D7}" sourceName="Operator Error">
  <pivotTables>
    <pivotTable tabId="23" name="PivotTable16"/>
    <pivotTable tabId="21" name="PivotTable15"/>
    <pivotTable tabId="18" name="PivotTable17"/>
    <pivotTable tabId="18" name="PivotTable19"/>
    <pivotTable tabId="18" name="PivotTable21"/>
    <pivotTable tabId="23" name="PivotTable20"/>
  </pivotTables>
  <data>
    <tabular pivotCacheId="202145652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688E9E7-BA57-4331-AE2B-3B4DEE82BAF8}" sourceName="Product">
  <pivotTables>
    <pivotTable tabId="26" name="PivotTable22"/>
    <pivotTable tabId="26" name="PivotTable13"/>
  </pivotTables>
  <data>
    <tabular pivotCacheId="1290501722">
      <items count="6">
        <i x="5" s="1"/>
        <i x="2" s="1"/>
        <i x="3"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CEA06967-7C49-4D9E-8470-799ACC02566B}" sourceName="Operator">
  <pivotTables>
    <pivotTable tabId="23" name="PivotTable16"/>
    <pivotTable tabId="21" name="PivotTable15"/>
    <pivotTable tabId="18" name="PivotTable17"/>
    <pivotTable tabId="18" name="PivotTable19"/>
    <pivotTable tabId="18" name="PivotTable21"/>
    <pivotTable tabId="23" name="PivotTable20"/>
  </pivotTables>
  <data>
    <tabular pivotCacheId="2021456520">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tor Error" xr10:uid="{0BFEC68F-8CC4-4E35-8664-10CEDBFE1CCE}" cache="Slicer_Operator_Error" caption="Operator Error" style="SlicerStyleDark1" rowHeight="247650"/>
  <slicer name="Product" xr10:uid="{B03ECDEB-9271-462F-84B2-68B862F2A8FD}" cache="Slicer_Product" caption="Product" style="SlicerStyleDark1" rowHeight="247650"/>
  <slicer name="Operator" xr10:uid="{BCA50F94-858D-4D0D-B927-660413187FEE}" cache="Slicer_Operator" caption="Operator"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A374BD-D24B-4E0C-B509-E35823792216}" name="Line_productivity" displayName="Line_productivity" ref="A1:I39" tableType="queryTable" totalsRowShown="0">
  <autoFilter ref="A1:I39" xr:uid="{6CA374BD-D24B-4E0C-B509-E35823792216}"/>
  <tableColumns count="9">
    <tableColumn id="1" xr3:uid="{F36EC1AE-4664-4BA6-B1B4-73BCC3984C7D}" uniqueName="1" name="Date" queryTableFieldId="1" dataDxfId="18"/>
    <tableColumn id="2" xr3:uid="{35124F2B-B1DE-4532-BF4D-046EB390A464}" uniqueName="2" name="Product" queryTableFieldId="2" dataDxfId="17"/>
    <tableColumn id="3" xr3:uid="{63F928D2-9371-48B6-9B9A-A2AE97485540}" uniqueName="3" name="Batch" queryTableFieldId="3" dataDxfId="16"/>
    <tableColumn id="4" xr3:uid="{18A4CC08-A6EE-42AF-8D17-FE5CC841F8AD}" uniqueName="4" name="Operator" queryTableFieldId="4" dataDxfId="15"/>
    <tableColumn id="5" xr3:uid="{88728677-812B-45A5-8B56-8D608FF28995}" uniqueName="5" name="Start Time" queryTableFieldId="5" dataDxfId="14"/>
    <tableColumn id="6" xr3:uid="{050F0251-FC51-487A-90CE-B40ACFDDD9F2}" uniqueName="6" name="End Time" queryTableFieldId="6" dataDxfId="13"/>
    <tableColumn id="10" xr3:uid="{6E18D138-5F6B-473F-AECE-240AFA2675C4}" uniqueName="10" name="Duration" queryTableFieldId="10"/>
    <tableColumn id="11" xr3:uid="{631969EF-2D03-48BF-8E84-B6024AB49871}" uniqueName="11" name="Total Minutes" queryTableFieldId="11"/>
    <tableColumn id="12" xr3:uid="{35FDCDF8-0753-4DC6-8082-868638BCC667}" uniqueName="12" name="Min batch tim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87D48A-C8CB-4B83-ADF4-01995D1A4EC3}" name="Line_downtime" displayName="Line_downtime" ref="A1:F62" tableType="queryTable" totalsRowShown="0">
  <autoFilter ref="A1:F62" xr:uid="{8287D48A-C8CB-4B83-ADF4-01995D1A4EC3}"/>
  <tableColumns count="6">
    <tableColumn id="1" xr3:uid="{F5DF982F-A913-4ADA-B552-6F91FCB89B35}" uniqueName="1" name="Batch" queryTableFieldId="1" dataDxfId="12"/>
    <tableColumn id="9" xr3:uid="{4E51F71C-CF05-4FD5-BC3A-D65A1ADB7930}" uniqueName="9" name="Product" queryTableFieldId="11" dataDxfId="11"/>
    <tableColumn id="2" xr3:uid="{BF986F93-3FE7-4975-AAAB-B9D866E752C6}" uniqueName="2" name="Downtime Factor" queryTableFieldId="2" dataDxfId="10"/>
    <tableColumn id="11" xr3:uid="{B4958CF7-2088-489A-AABC-E1CEA4E6708D}" uniqueName="11" name="Downtime Description" queryTableFieldId="14" dataDxfId="9"/>
    <tableColumn id="3" xr3:uid="{6090E11D-AF13-4BDB-8F21-3E4FF76259E4}" uniqueName="3" name="Downtime" queryTableFieldId="3"/>
    <tableColumn id="4" xr3:uid="{900DB83B-C2F6-46CF-81BA-D7654B93C0B8}" uniqueName="4" name="Operator Error"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69FB85A-9499-4C89-97BE-626EC1DD8307}" name="Downtime_factors" displayName="Downtime_factors" ref="A1:C13" tableType="queryTable" totalsRowShown="0">
  <autoFilter ref="A1:C13" xr:uid="{E69FB85A-9499-4C89-97BE-626EC1DD8307}"/>
  <tableColumns count="3">
    <tableColumn id="1" xr3:uid="{5E996E24-CE19-405B-BFFF-B92CD4400FBD}" uniqueName="1" name="Factor" queryTableFieldId="1"/>
    <tableColumn id="2" xr3:uid="{1C820C32-CAED-4BFA-B9F3-B63F5F635670}" uniqueName="2" name="Description" queryTableFieldId="2" dataDxfId="8"/>
    <tableColumn id="3" xr3:uid="{62053845-8147-4246-B7C3-B429E9EE146F}" uniqueName="3" name="Operator Error" queryTableFieldId="3" dataDxf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78173E-3875-4C26-AED7-6372E6EC9B0B}" name="Products" displayName="Products" ref="A1:D7" tableType="queryTable" totalsRowShown="0">
  <autoFilter ref="A1:D7" xr:uid="{E278173E-3875-4C26-AED7-6372E6EC9B0B}"/>
  <tableColumns count="4">
    <tableColumn id="1" xr3:uid="{CC53D690-48AB-4918-B02C-E5DB72697039}" uniqueName="1" name="Product" queryTableFieldId="1" dataDxfId="6"/>
    <tableColumn id="2" xr3:uid="{49A34D31-B56E-48D3-9FC5-ACFAF389F54D}" uniqueName="2" name="Flavor" queryTableFieldId="2" dataDxfId="5"/>
    <tableColumn id="3" xr3:uid="{E40C440D-650C-453E-9DC3-69C96B5E1D42}" uniqueName="3" name="Size" queryTableFieldId="3" dataDxfId="4"/>
    <tableColumn id="4" xr3:uid="{7AD6AE67-A44B-4EFF-B97E-0E864F0D3B5F}" uniqueName="4" name="Min batch time" queryTableField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ECE929-9CD9-416A-AA4C-87AD513B7FD2}" name="Table1" displayName="Table1" ref="A1:F39" totalsRowShown="0" headerRowDxfId="3">
  <autoFilter ref="A1:F39" xr:uid="{75ECE929-9CD9-416A-AA4C-87AD513B7FD2}"/>
  <tableColumns count="6">
    <tableColumn id="1" xr3:uid="{8923DC13-CE2C-4B0E-BE29-3125CC7E9269}" name="Date" dataDxfId="2"/>
    <tableColumn id="2" xr3:uid="{E058F091-E2F7-49B6-99C9-7BEA01BA8EA7}" name="Product"/>
    <tableColumn id="3" xr3:uid="{5FA5055C-940C-443A-8757-24DBD34FFF78}" name="Batch"/>
    <tableColumn id="4" xr3:uid="{5A782F75-8985-4F24-9709-32681F098D78}" name="Operator"/>
    <tableColumn id="5" xr3:uid="{AA979C21-69B5-4EF0-BA55-B2796C88F6B3}" name="Start Time" dataDxfId="1"/>
    <tableColumn id="6" xr3:uid="{59E0D505-1704-496B-9F3C-393DE1C1CF50}" name="End Tim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AB227-9BB0-407A-BD10-4B62B02EFC40}">
  <dimension ref="A1"/>
  <sheetViews>
    <sheetView tabSelected="1" workbookViewId="0">
      <selection activeCell="S20" sqref="S20"/>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5EFE1-241B-4485-BE1D-70A497C62361}">
  <dimension ref="A1"/>
  <sheetViews>
    <sheetView showGridLines="0" topLeftCell="A4" zoomScale="70" zoomScaleNormal="70" workbookViewId="0">
      <selection activeCell="D61" sqref="D6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89C15-A9B9-4BB6-9106-1EE505B4B0BA}">
  <dimension ref="A2:D104"/>
  <sheetViews>
    <sheetView workbookViewId="0">
      <selection activeCell="O8" sqref="O8"/>
    </sheetView>
  </sheetViews>
  <sheetFormatPr defaultRowHeight="14.4" x14ac:dyDescent="0.3"/>
  <cols>
    <col min="1" max="1" width="27" bestFit="1" customWidth="1"/>
    <col min="2" max="2" width="15.5546875" bestFit="1" customWidth="1"/>
    <col min="3" max="3" width="3.88671875" bestFit="1" customWidth="1"/>
    <col min="4" max="4" width="10.5546875" bestFit="1" customWidth="1"/>
    <col min="5" max="5" width="6.88671875" bestFit="1" customWidth="1"/>
    <col min="6" max="8" width="10.5546875" bestFit="1" customWidth="1"/>
    <col min="9" max="9" width="18.109375" bestFit="1" customWidth="1"/>
    <col min="10" max="10" width="13.77734375" bestFit="1" customWidth="1"/>
    <col min="11" max="11" width="5.6640625" bestFit="1" customWidth="1"/>
    <col min="12" max="12" width="11.5546875" bestFit="1" customWidth="1"/>
    <col min="13" max="13" width="10.5546875" bestFit="1" customWidth="1"/>
    <col min="14" max="14" width="8.33203125" bestFit="1" customWidth="1"/>
    <col min="15" max="15" width="10.5546875" bestFit="1" customWidth="1"/>
  </cols>
  <sheetData>
    <row r="2" spans="1:2" x14ac:dyDescent="0.3">
      <c r="A2" s="8" t="s">
        <v>47</v>
      </c>
      <c r="B2" t="s">
        <v>57</v>
      </c>
    </row>
    <row r="3" spans="1:2" x14ac:dyDescent="0.3">
      <c r="A3" s="9" t="s">
        <v>8</v>
      </c>
      <c r="B3">
        <v>5</v>
      </c>
    </row>
    <row r="4" spans="1:2" x14ac:dyDescent="0.3">
      <c r="A4" s="9" t="s">
        <v>13</v>
      </c>
      <c r="B4">
        <v>6</v>
      </c>
    </row>
    <row r="5" spans="1:2" x14ac:dyDescent="0.3">
      <c r="A5" s="9" t="s">
        <v>18</v>
      </c>
      <c r="B5">
        <v>3</v>
      </c>
    </row>
    <row r="6" spans="1:2" x14ac:dyDescent="0.3">
      <c r="A6" s="9" t="s">
        <v>15</v>
      </c>
      <c r="B6">
        <v>1</v>
      </c>
    </row>
    <row r="7" spans="1:2" x14ac:dyDescent="0.3">
      <c r="A7" s="9" t="s">
        <v>14</v>
      </c>
      <c r="B7">
        <v>9</v>
      </c>
    </row>
    <row r="8" spans="1:2" x14ac:dyDescent="0.3">
      <c r="A8" s="9" t="s">
        <v>11</v>
      </c>
      <c r="B8">
        <v>3</v>
      </c>
    </row>
    <row r="9" spans="1:2" x14ac:dyDescent="0.3">
      <c r="A9" s="9" t="s">
        <v>19</v>
      </c>
      <c r="B9">
        <v>2</v>
      </c>
    </row>
    <row r="10" spans="1:2" x14ac:dyDescent="0.3">
      <c r="A10" s="9" t="s">
        <v>9</v>
      </c>
      <c r="B10">
        <v>12</v>
      </c>
    </row>
    <row r="11" spans="1:2" x14ac:dyDescent="0.3">
      <c r="A11" s="9" t="s">
        <v>12</v>
      </c>
      <c r="B11">
        <v>11</v>
      </c>
    </row>
    <row r="12" spans="1:2" x14ac:dyDescent="0.3">
      <c r="A12" s="9" t="s">
        <v>16</v>
      </c>
      <c r="B12">
        <v>6</v>
      </c>
    </row>
    <row r="13" spans="1:2" x14ac:dyDescent="0.3">
      <c r="A13" s="9" t="s">
        <v>10</v>
      </c>
      <c r="B13">
        <v>3</v>
      </c>
    </row>
    <row r="14" spans="1:2" x14ac:dyDescent="0.3">
      <c r="A14" s="9" t="s">
        <v>48</v>
      </c>
      <c r="B14">
        <v>61</v>
      </c>
    </row>
    <row r="18" spans="1:4" x14ac:dyDescent="0.3">
      <c r="A18" s="8" t="s">
        <v>50</v>
      </c>
      <c r="B18" s="8" t="s">
        <v>49</v>
      </c>
    </row>
    <row r="19" spans="1:4" x14ac:dyDescent="0.3">
      <c r="A19" s="8" t="s">
        <v>47</v>
      </c>
      <c r="B19" t="s">
        <v>20</v>
      </c>
      <c r="C19" t="s">
        <v>21</v>
      </c>
      <c r="D19" t="s">
        <v>48</v>
      </c>
    </row>
    <row r="20" spans="1:4" x14ac:dyDescent="0.3">
      <c r="A20" s="9" t="s">
        <v>29</v>
      </c>
      <c r="B20">
        <v>6</v>
      </c>
      <c r="C20">
        <v>5</v>
      </c>
      <c r="D20">
        <v>11</v>
      </c>
    </row>
    <row r="21" spans="1:4" x14ac:dyDescent="0.3">
      <c r="A21" s="10" t="s">
        <v>13</v>
      </c>
      <c r="C21">
        <v>2</v>
      </c>
      <c r="D21">
        <v>2</v>
      </c>
    </row>
    <row r="22" spans="1:4" x14ac:dyDescent="0.3">
      <c r="A22" s="10" t="s">
        <v>14</v>
      </c>
      <c r="B22">
        <v>2</v>
      </c>
      <c r="D22">
        <v>2</v>
      </c>
    </row>
    <row r="23" spans="1:4" x14ac:dyDescent="0.3">
      <c r="A23" s="10" t="s">
        <v>19</v>
      </c>
      <c r="B23">
        <v>1</v>
      </c>
      <c r="D23">
        <v>1</v>
      </c>
    </row>
    <row r="24" spans="1:4" x14ac:dyDescent="0.3">
      <c r="A24" s="10" t="s">
        <v>9</v>
      </c>
      <c r="C24">
        <v>3</v>
      </c>
      <c r="D24">
        <v>3</v>
      </c>
    </row>
    <row r="25" spans="1:4" x14ac:dyDescent="0.3">
      <c r="A25" s="10" t="s">
        <v>12</v>
      </c>
      <c r="B25">
        <v>2</v>
      </c>
      <c r="D25">
        <v>2</v>
      </c>
    </row>
    <row r="26" spans="1:4" x14ac:dyDescent="0.3">
      <c r="A26" s="10" t="s">
        <v>16</v>
      </c>
      <c r="B26">
        <v>1</v>
      </c>
      <c r="D26">
        <v>1</v>
      </c>
    </row>
    <row r="27" spans="1:4" x14ac:dyDescent="0.3">
      <c r="A27" s="9" t="s">
        <v>26</v>
      </c>
      <c r="B27">
        <v>13</v>
      </c>
      <c r="C27">
        <v>11</v>
      </c>
      <c r="D27">
        <v>24</v>
      </c>
    </row>
    <row r="28" spans="1:4" x14ac:dyDescent="0.3">
      <c r="A28" s="10" t="s">
        <v>8</v>
      </c>
      <c r="C28">
        <v>1</v>
      </c>
      <c r="D28">
        <v>1</v>
      </c>
    </row>
    <row r="29" spans="1:4" x14ac:dyDescent="0.3">
      <c r="A29" s="10" t="s">
        <v>13</v>
      </c>
      <c r="C29">
        <v>1</v>
      </c>
      <c r="D29">
        <v>1</v>
      </c>
    </row>
    <row r="30" spans="1:4" x14ac:dyDescent="0.3">
      <c r="A30" s="10" t="s">
        <v>18</v>
      </c>
      <c r="C30">
        <v>1</v>
      </c>
      <c r="D30">
        <v>1</v>
      </c>
    </row>
    <row r="31" spans="1:4" x14ac:dyDescent="0.3">
      <c r="A31" s="10" t="s">
        <v>15</v>
      </c>
      <c r="B31">
        <v>1</v>
      </c>
      <c r="D31">
        <v>1</v>
      </c>
    </row>
    <row r="32" spans="1:4" x14ac:dyDescent="0.3">
      <c r="A32" s="10" t="s">
        <v>14</v>
      </c>
      <c r="B32">
        <v>4</v>
      </c>
      <c r="D32">
        <v>4</v>
      </c>
    </row>
    <row r="33" spans="1:4" x14ac:dyDescent="0.3">
      <c r="A33" s="10" t="s">
        <v>11</v>
      </c>
      <c r="C33">
        <v>2</v>
      </c>
      <c r="D33">
        <v>2</v>
      </c>
    </row>
    <row r="34" spans="1:4" x14ac:dyDescent="0.3">
      <c r="A34" s="10" t="s">
        <v>9</v>
      </c>
      <c r="C34">
        <v>3</v>
      </c>
      <c r="D34">
        <v>3</v>
      </c>
    </row>
    <row r="35" spans="1:4" x14ac:dyDescent="0.3">
      <c r="A35" s="10" t="s">
        <v>12</v>
      </c>
      <c r="B35">
        <v>5</v>
      </c>
      <c r="D35">
        <v>5</v>
      </c>
    </row>
    <row r="36" spans="1:4" x14ac:dyDescent="0.3">
      <c r="A36" s="10" t="s">
        <v>16</v>
      </c>
      <c r="B36">
        <v>3</v>
      </c>
      <c r="D36">
        <v>3</v>
      </c>
    </row>
    <row r="37" spans="1:4" x14ac:dyDescent="0.3">
      <c r="A37" s="10" t="s">
        <v>10</v>
      </c>
      <c r="C37">
        <v>3</v>
      </c>
      <c r="D37">
        <v>3</v>
      </c>
    </row>
    <row r="38" spans="1:4" x14ac:dyDescent="0.3">
      <c r="A38" s="9" t="s">
        <v>27</v>
      </c>
      <c r="B38">
        <v>4</v>
      </c>
      <c r="C38">
        <v>1</v>
      </c>
      <c r="D38">
        <v>5</v>
      </c>
    </row>
    <row r="39" spans="1:4" x14ac:dyDescent="0.3">
      <c r="A39" s="10" t="s">
        <v>13</v>
      </c>
      <c r="C39">
        <v>1</v>
      </c>
      <c r="D39">
        <v>1</v>
      </c>
    </row>
    <row r="40" spans="1:4" x14ac:dyDescent="0.3">
      <c r="A40" s="10" t="s">
        <v>14</v>
      </c>
      <c r="B40">
        <v>1</v>
      </c>
      <c r="D40">
        <v>1</v>
      </c>
    </row>
    <row r="41" spans="1:4" x14ac:dyDescent="0.3">
      <c r="A41" s="10" t="s">
        <v>12</v>
      </c>
      <c r="B41">
        <v>2</v>
      </c>
      <c r="D41">
        <v>2</v>
      </c>
    </row>
    <row r="42" spans="1:4" x14ac:dyDescent="0.3">
      <c r="A42" s="10" t="s">
        <v>16</v>
      </c>
      <c r="B42">
        <v>1</v>
      </c>
      <c r="D42">
        <v>1</v>
      </c>
    </row>
    <row r="43" spans="1:4" x14ac:dyDescent="0.3">
      <c r="A43" s="9" t="s">
        <v>25</v>
      </c>
      <c r="B43">
        <v>1</v>
      </c>
      <c r="C43">
        <v>7</v>
      </c>
      <c r="D43">
        <v>8</v>
      </c>
    </row>
    <row r="44" spans="1:4" x14ac:dyDescent="0.3">
      <c r="A44" s="10" t="s">
        <v>8</v>
      </c>
      <c r="C44">
        <v>3</v>
      </c>
      <c r="D44">
        <v>3</v>
      </c>
    </row>
    <row r="45" spans="1:4" x14ac:dyDescent="0.3">
      <c r="A45" s="10" t="s">
        <v>13</v>
      </c>
      <c r="C45">
        <v>1</v>
      </c>
      <c r="D45">
        <v>1</v>
      </c>
    </row>
    <row r="46" spans="1:4" x14ac:dyDescent="0.3">
      <c r="A46" s="10" t="s">
        <v>18</v>
      </c>
      <c r="C46">
        <v>1</v>
      </c>
      <c r="D46">
        <v>1</v>
      </c>
    </row>
    <row r="47" spans="1:4" x14ac:dyDescent="0.3">
      <c r="A47" s="10" t="s">
        <v>14</v>
      </c>
      <c r="B47">
        <v>1</v>
      </c>
      <c r="D47">
        <v>1</v>
      </c>
    </row>
    <row r="48" spans="1:4" x14ac:dyDescent="0.3">
      <c r="A48" s="10" t="s">
        <v>9</v>
      </c>
      <c r="C48">
        <v>2</v>
      </c>
      <c r="D48">
        <v>2</v>
      </c>
    </row>
    <row r="49" spans="1:4" x14ac:dyDescent="0.3">
      <c r="A49" s="9" t="s">
        <v>24</v>
      </c>
      <c r="B49">
        <v>1</v>
      </c>
      <c r="C49">
        <v>1</v>
      </c>
      <c r="D49">
        <v>2</v>
      </c>
    </row>
    <row r="50" spans="1:4" x14ac:dyDescent="0.3">
      <c r="A50" s="10" t="s">
        <v>8</v>
      </c>
      <c r="C50">
        <v>1</v>
      </c>
      <c r="D50">
        <v>1</v>
      </c>
    </row>
    <row r="51" spans="1:4" x14ac:dyDescent="0.3">
      <c r="A51" s="10" t="s">
        <v>12</v>
      </c>
      <c r="B51">
        <v>1</v>
      </c>
      <c r="D51">
        <v>1</v>
      </c>
    </row>
    <row r="52" spans="1:4" x14ac:dyDescent="0.3">
      <c r="A52" s="9" t="s">
        <v>28</v>
      </c>
      <c r="B52">
        <v>4</v>
      </c>
      <c r="C52">
        <v>7</v>
      </c>
      <c r="D52">
        <v>11</v>
      </c>
    </row>
    <row r="53" spans="1:4" x14ac:dyDescent="0.3">
      <c r="A53" s="10" t="s">
        <v>13</v>
      </c>
      <c r="C53">
        <v>1</v>
      </c>
      <c r="D53">
        <v>1</v>
      </c>
    </row>
    <row r="54" spans="1:4" x14ac:dyDescent="0.3">
      <c r="A54" s="10" t="s">
        <v>18</v>
      </c>
      <c r="C54">
        <v>1</v>
      </c>
      <c r="D54">
        <v>1</v>
      </c>
    </row>
    <row r="55" spans="1:4" x14ac:dyDescent="0.3">
      <c r="A55" s="10" t="s">
        <v>14</v>
      </c>
      <c r="B55">
        <v>1</v>
      </c>
      <c r="D55">
        <v>1</v>
      </c>
    </row>
    <row r="56" spans="1:4" x14ac:dyDescent="0.3">
      <c r="A56" s="10" t="s">
        <v>11</v>
      </c>
      <c r="C56">
        <v>1</v>
      </c>
      <c r="D56">
        <v>1</v>
      </c>
    </row>
    <row r="57" spans="1:4" x14ac:dyDescent="0.3">
      <c r="A57" s="10" t="s">
        <v>19</v>
      </c>
      <c r="B57">
        <v>1</v>
      </c>
      <c r="D57">
        <v>1</v>
      </c>
    </row>
    <row r="58" spans="1:4" x14ac:dyDescent="0.3">
      <c r="A58" s="10" t="s">
        <v>9</v>
      </c>
      <c r="C58">
        <v>4</v>
      </c>
      <c r="D58">
        <v>4</v>
      </c>
    </row>
    <row r="59" spans="1:4" x14ac:dyDescent="0.3">
      <c r="A59" s="10" t="s">
        <v>12</v>
      </c>
      <c r="B59">
        <v>1</v>
      </c>
      <c r="D59">
        <v>1</v>
      </c>
    </row>
    <row r="60" spans="1:4" x14ac:dyDescent="0.3">
      <c r="A60" s="10" t="s">
        <v>16</v>
      </c>
      <c r="B60">
        <v>1</v>
      </c>
      <c r="D60">
        <v>1</v>
      </c>
    </row>
    <row r="61" spans="1:4" x14ac:dyDescent="0.3">
      <c r="A61" s="9" t="s">
        <v>48</v>
      </c>
      <c r="B61">
        <v>29</v>
      </c>
      <c r="C61">
        <v>32</v>
      </c>
      <c r="D61">
        <v>61</v>
      </c>
    </row>
    <row r="65" spans="1:4" x14ac:dyDescent="0.3">
      <c r="A65" s="8" t="s">
        <v>57</v>
      </c>
      <c r="B65" s="8" t="s">
        <v>49</v>
      </c>
    </row>
    <row r="66" spans="1:4" x14ac:dyDescent="0.3">
      <c r="A66" s="8" t="s">
        <v>47</v>
      </c>
      <c r="B66" t="s">
        <v>20</v>
      </c>
      <c r="C66" t="s">
        <v>21</v>
      </c>
      <c r="D66" t="s">
        <v>48</v>
      </c>
    </row>
    <row r="67" spans="1:4" x14ac:dyDescent="0.3">
      <c r="A67" s="9" t="s">
        <v>40</v>
      </c>
      <c r="B67">
        <v>8</v>
      </c>
      <c r="C67">
        <v>9</v>
      </c>
      <c r="D67">
        <v>17</v>
      </c>
    </row>
    <row r="68" spans="1:4" x14ac:dyDescent="0.3">
      <c r="A68" s="10" t="s">
        <v>8</v>
      </c>
      <c r="C68">
        <v>1</v>
      </c>
      <c r="D68">
        <v>1</v>
      </c>
    </row>
    <row r="69" spans="1:4" x14ac:dyDescent="0.3">
      <c r="A69" s="10" t="s">
        <v>13</v>
      </c>
      <c r="C69">
        <v>1</v>
      </c>
      <c r="D69">
        <v>1</v>
      </c>
    </row>
    <row r="70" spans="1:4" x14ac:dyDescent="0.3">
      <c r="A70" s="10" t="s">
        <v>18</v>
      </c>
      <c r="C70">
        <v>1</v>
      </c>
      <c r="D70">
        <v>1</v>
      </c>
    </row>
    <row r="71" spans="1:4" x14ac:dyDescent="0.3">
      <c r="A71" s="10" t="s">
        <v>14</v>
      </c>
      <c r="B71">
        <v>1</v>
      </c>
      <c r="D71">
        <v>1</v>
      </c>
    </row>
    <row r="72" spans="1:4" x14ac:dyDescent="0.3">
      <c r="A72" s="10" t="s">
        <v>11</v>
      </c>
      <c r="C72">
        <v>1</v>
      </c>
      <c r="D72">
        <v>1</v>
      </c>
    </row>
    <row r="73" spans="1:4" x14ac:dyDescent="0.3">
      <c r="A73" s="10" t="s">
        <v>19</v>
      </c>
      <c r="B73">
        <v>1</v>
      </c>
      <c r="D73">
        <v>1</v>
      </c>
    </row>
    <row r="74" spans="1:4" x14ac:dyDescent="0.3">
      <c r="A74" s="10" t="s">
        <v>9</v>
      </c>
      <c r="C74">
        <v>4</v>
      </c>
      <c r="D74">
        <v>4</v>
      </c>
    </row>
    <row r="75" spans="1:4" x14ac:dyDescent="0.3">
      <c r="A75" s="10" t="s">
        <v>12</v>
      </c>
      <c r="B75">
        <v>3</v>
      </c>
      <c r="D75">
        <v>3</v>
      </c>
    </row>
    <row r="76" spans="1:4" x14ac:dyDescent="0.3">
      <c r="A76" s="10" t="s">
        <v>16</v>
      </c>
      <c r="B76">
        <v>3</v>
      </c>
      <c r="D76">
        <v>3</v>
      </c>
    </row>
    <row r="77" spans="1:4" x14ac:dyDescent="0.3">
      <c r="A77" s="10" t="s">
        <v>10</v>
      </c>
      <c r="C77">
        <v>1</v>
      </c>
      <c r="D77">
        <v>1</v>
      </c>
    </row>
    <row r="78" spans="1:4" x14ac:dyDescent="0.3">
      <c r="A78" s="9" t="s">
        <v>41</v>
      </c>
      <c r="B78">
        <v>9</v>
      </c>
      <c r="C78">
        <v>10</v>
      </c>
      <c r="D78">
        <v>19</v>
      </c>
    </row>
    <row r="79" spans="1:4" x14ac:dyDescent="0.3">
      <c r="A79" s="10" t="s">
        <v>8</v>
      </c>
      <c r="C79">
        <v>1</v>
      </c>
      <c r="D79">
        <v>1</v>
      </c>
    </row>
    <row r="80" spans="1:4" x14ac:dyDescent="0.3">
      <c r="A80" s="10" t="s">
        <v>13</v>
      </c>
      <c r="C80">
        <v>1</v>
      </c>
      <c r="D80">
        <v>1</v>
      </c>
    </row>
    <row r="81" spans="1:4" x14ac:dyDescent="0.3">
      <c r="A81" s="10" t="s">
        <v>18</v>
      </c>
      <c r="C81">
        <v>2</v>
      </c>
      <c r="D81">
        <v>2</v>
      </c>
    </row>
    <row r="82" spans="1:4" x14ac:dyDescent="0.3">
      <c r="A82" s="10" t="s">
        <v>15</v>
      </c>
      <c r="B82">
        <v>1</v>
      </c>
      <c r="D82">
        <v>1</v>
      </c>
    </row>
    <row r="83" spans="1:4" x14ac:dyDescent="0.3">
      <c r="A83" s="10" t="s">
        <v>14</v>
      </c>
      <c r="B83">
        <v>4</v>
      </c>
      <c r="D83">
        <v>4</v>
      </c>
    </row>
    <row r="84" spans="1:4" x14ac:dyDescent="0.3">
      <c r="A84" s="10" t="s">
        <v>11</v>
      </c>
      <c r="C84">
        <v>2</v>
      </c>
      <c r="D84">
        <v>2</v>
      </c>
    </row>
    <row r="85" spans="1:4" x14ac:dyDescent="0.3">
      <c r="A85" s="10" t="s">
        <v>19</v>
      </c>
      <c r="B85">
        <v>1</v>
      </c>
      <c r="D85">
        <v>1</v>
      </c>
    </row>
    <row r="86" spans="1:4" x14ac:dyDescent="0.3">
      <c r="A86" s="10" t="s">
        <v>9</v>
      </c>
      <c r="C86">
        <v>3</v>
      </c>
      <c r="D86">
        <v>3</v>
      </c>
    </row>
    <row r="87" spans="1:4" x14ac:dyDescent="0.3">
      <c r="A87" s="10" t="s">
        <v>12</v>
      </c>
      <c r="B87">
        <v>2</v>
      </c>
      <c r="D87">
        <v>2</v>
      </c>
    </row>
    <row r="88" spans="1:4" x14ac:dyDescent="0.3">
      <c r="A88" s="10" t="s">
        <v>16</v>
      </c>
      <c r="B88">
        <v>1</v>
      </c>
      <c r="D88">
        <v>1</v>
      </c>
    </row>
    <row r="89" spans="1:4" x14ac:dyDescent="0.3">
      <c r="A89" s="10" t="s">
        <v>10</v>
      </c>
      <c r="C89">
        <v>1</v>
      </c>
      <c r="D89">
        <v>1</v>
      </c>
    </row>
    <row r="90" spans="1:4" x14ac:dyDescent="0.3">
      <c r="A90" s="9" t="s">
        <v>42</v>
      </c>
      <c r="B90">
        <v>6</v>
      </c>
      <c r="C90">
        <v>6</v>
      </c>
      <c r="D90">
        <v>12</v>
      </c>
    </row>
    <row r="91" spans="1:4" x14ac:dyDescent="0.3">
      <c r="A91" s="10" t="s">
        <v>13</v>
      </c>
      <c r="C91">
        <v>1</v>
      </c>
      <c r="D91">
        <v>1</v>
      </c>
    </row>
    <row r="92" spans="1:4" x14ac:dyDescent="0.3">
      <c r="A92" s="10" t="s">
        <v>14</v>
      </c>
      <c r="B92">
        <v>1</v>
      </c>
      <c r="D92">
        <v>1</v>
      </c>
    </row>
    <row r="93" spans="1:4" x14ac:dyDescent="0.3">
      <c r="A93" s="10" t="s">
        <v>9</v>
      </c>
      <c r="C93">
        <v>4</v>
      </c>
      <c r="D93">
        <v>4</v>
      </c>
    </row>
    <row r="94" spans="1:4" x14ac:dyDescent="0.3">
      <c r="A94" s="10" t="s">
        <v>12</v>
      </c>
      <c r="B94">
        <v>4</v>
      </c>
      <c r="D94">
        <v>4</v>
      </c>
    </row>
    <row r="95" spans="1:4" x14ac:dyDescent="0.3">
      <c r="A95" s="10" t="s">
        <v>16</v>
      </c>
      <c r="B95">
        <v>1</v>
      </c>
      <c r="D95">
        <v>1</v>
      </c>
    </row>
    <row r="96" spans="1:4" x14ac:dyDescent="0.3">
      <c r="A96" s="10" t="s">
        <v>10</v>
      </c>
      <c r="C96">
        <v>1</v>
      </c>
      <c r="D96">
        <v>1</v>
      </c>
    </row>
    <row r="97" spans="1:4" x14ac:dyDescent="0.3">
      <c r="A97" s="9" t="s">
        <v>43</v>
      </c>
      <c r="B97">
        <v>6</v>
      </c>
      <c r="C97">
        <v>7</v>
      </c>
      <c r="D97">
        <v>13</v>
      </c>
    </row>
    <row r="98" spans="1:4" x14ac:dyDescent="0.3">
      <c r="A98" s="10" t="s">
        <v>8</v>
      </c>
      <c r="C98">
        <v>3</v>
      </c>
      <c r="D98">
        <v>3</v>
      </c>
    </row>
    <row r="99" spans="1:4" x14ac:dyDescent="0.3">
      <c r="A99" s="10" t="s">
        <v>13</v>
      </c>
      <c r="C99">
        <v>3</v>
      </c>
      <c r="D99">
        <v>3</v>
      </c>
    </row>
    <row r="100" spans="1:4" x14ac:dyDescent="0.3">
      <c r="A100" s="10" t="s">
        <v>14</v>
      </c>
      <c r="B100">
        <v>3</v>
      </c>
      <c r="D100">
        <v>3</v>
      </c>
    </row>
    <row r="101" spans="1:4" x14ac:dyDescent="0.3">
      <c r="A101" s="10" t="s">
        <v>9</v>
      </c>
      <c r="C101">
        <v>1</v>
      </c>
      <c r="D101">
        <v>1</v>
      </c>
    </row>
    <row r="102" spans="1:4" x14ac:dyDescent="0.3">
      <c r="A102" s="10" t="s">
        <v>12</v>
      </c>
      <c r="B102">
        <v>2</v>
      </c>
      <c r="D102">
        <v>2</v>
      </c>
    </row>
    <row r="103" spans="1:4" x14ac:dyDescent="0.3">
      <c r="A103" s="10" t="s">
        <v>16</v>
      </c>
      <c r="B103">
        <v>1</v>
      </c>
      <c r="D103">
        <v>1</v>
      </c>
    </row>
    <row r="104" spans="1:4" x14ac:dyDescent="0.3">
      <c r="A104" s="9" t="s">
        <v>48</v>
      </c>
      <c r="B104">
        <v>29</v>
      </c>
      <c r="C104">
        <v>32</v>
      </c>
      <c r="D104">
        <v>61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7FF83-21D3-457F-8DB7-D0270C8EDDC8}">
  <dimension ref="A3:D42"/>
  <sheetViews>
    <sheetView workbookViewId="0">
      <selection sqref="A1:XFD13"/>
    </sheetView>
  </sheetViews>
  <sheetFormatPr defaultRowHeight="14.4" x14ac:dyDescent="0.3"/>
  <cols>
    <col min="1" max="1" width="14.77734375" bestFit="1" customWidth="1"/>
    <col min="2" max="2" width="15.5546875" bestFit="1" customWidth="1"/>
    <col min="3" max="3" width="7.21875" bestFit="1" customWidth="1"/>
    <col min="4" max="4" width="7.109375" bestFit="1" customWidth="1"/>
    <col min="5" max="5" width="6.5546875" bestFit="1" customWidth="1"/>
    <col min="6" max="6" width="7.109375" bestFit="1" customWidth="1"/>
    <col min="7" max="7" width="6.88671875" bestFit="1" customWidth="1"/>
    <col min="8" max="8" width="10.5546875" bestFit="1" customWidth="1"/>
  </cols>
  <sheetData>
    <row r="3" spans="1:4" x14ac:dyDescent="0.3">
      <c r="A3" s="8" t="s">
        <v>50</v>
      </c>
      <c r="B3" s="8" t="s">
        <v>49</v>
      </c>
    </row>
    <row r="4" spans="1:4" x14ac:dyDescent="0.3">
      <c r="A4" s="8" t="s">
        <v>47</v>
      </c>
      <c r="B4" t="s">
        <v>20</v>
      </c>
      <c r="C4" t="s">
        <v>21</v>
      </c>
      <c r="D4" t="s">
        <v>48</v>
      </c>
    </row>
    <row r="5" spans="1:4" x14ac:dyDescent="0.3">
      <c r="A5" s="9" t="s">
        <v>40</v>
      </c>
      <c r="B5">
        <v>8</v>
      </c>
      <c r="C5">
        <v>9</v>
      </c>
      <c r="D5">
        <v>17</v>
      </c>
    </row>
    <row r="6" spans="1:4" x14ac:dyDescent="0.3">
      <c r="A6" s="9" t="s">
        <v>41</v>
      </c>
      <c r="B6">
        <v>9</v>
      </c>
      <c r="C6">
        <v>10</v>
      </c>
      <c r="D6">
        <v>19</v>
      </c>
    </row>
    <row r="7" spans="1:4" x14ac:dyDescent="0.3">
      <c r="A7" s="9" t="s">
        <v>42</v>
      </c>
      <c r="B7">
        <v>6</v>
      </c>
      <c r="C7">
        <v>6</v>
      </c>
      <c r="D7">
        <v>12</v>
      </c>
    </row>
    <row r="8" spans="1:4" x14ac:dyDescent="0.3">
      <c r="A8" s="9" t="s">
        <v>43</v>
      </c>
      <c r="B8">
        <v>6</v>
      </c>
      <c r="C8">
        <v>7</v>
      </c>
      <c r="D8">
        <v>13</v>
      </c>
    </row>
    <row r="9" spans="1:4" x14ac:dyDescent="0.3">
      <c r="A9" s="9" t="s">
        <v>48</v>
      </c>
      <c r="B9">
        <v>29</v>
      </c>
      <c r="C9">
        <v>32</v>
      </c>
      <c r="D9">
        <v>61</v>
      </c>
    </row>
    <row r="24" spans="1:2" x14ac:dyDescent="0.3">
      <c r="A24" s="8" t="s">
        <v>47</v>
      </c>
      <c r="B24" t="s">
        <v>53</v>
      </c>
    </row>
    <row r="25" spans="1:2" x14ac:dyDescent="0.3">
      <c r="A25" s="9" t="s">
        <v>40</v>
      </c>
      <c r="B25">
        <v>17</v>
      </c>
    </row>
    <row r="26" spans="1:2" x14ac:dyDescent="0.3">
      <c r="A26" s="10" t="s">
        <v>29</v>
      </c>
      <c r="B26">
        <v>7</v>
      </c>
    </row>
    <row r="27" spans="1:2" x14ac:dyDescent="0.3">
      <c r="A27" s="10" t="s">
        <v>26</v>
      </c>
      <c r="B27">
        <v>7</v>
      </c>
    </row>
    <row r="28" spans="1:2" x14ac:dyDescent="0.3">
      <c r="A28" s="10" t="s">
        <v>25</v>
      </c>
      <c r="B28">
        <v>3</v>
      </c>
    </row>
    <row r="29" spans="1:2" x14ac:dyDescent="0.3">
      <c r="A29" s="9" t="s">
        <v>41</v>
      </c>
      <c r="B29">
        <v>19</v>
      </c>
    </row>
    <row r="30" spans="1:2" x14ac:dyDescent="0.3">
      <c r="A30" s="10" t="s">
        <v>26</v>
      </c>
      <c r="B30">
        <v>11</v>
      </c>
    </row>
    <row r="31" spans="1:2" x14ac:dyDescent="0.3">
      <c r="A31" s="10" t="s">
        <v>27</v>
      </c>
      <c r="B31">
        <v>1</v>
      </c>
    </row>
    <row r="32" spans="1:2" x14ac:dyDescent="0.3">
      <c r="A32" s="10" t="s">
        <v>28</v>
      </c>
      <c r="B32">
        <v>7</v>
      </c>
    </row>
    <row r="33" spans="1:2" x14ac:dyDescent="0.3">
      <c r="A33" s="9" t="s">
        <v>42</v>
      </c>
      <c r="B33">
        <v>12</v>
      </c>
    </row>
    <row r="34" spans="1:2" x14ac:dyDescent="0.3">
      <c r="A34" s="10" t="s">
        <v>29</v>
      </c>
      <c r="B34">
        <v>2</v>
      </c>
    </row>
    <row r="35" spans="1:2" x14ac:dyDescent="0.3">
      <c r="A35" s="10" t="s">
        <v>26</v>
      </c>
      <c r="B35">
        <v>6</v>
      </c>
    </row>
    <row r="36" spans="1:2" x14ac:dyDescent="0.3">
      <c r="A36" s="10" t="s">
        <v>28</v>
      </c>
      <c r="B36">
        <v>4</v>
      </c>
    </row>
    <row r="37" spans="1:2" x14ac:dyDescent="0.3">
      <c r="A37" s="9" t="s">
        <v>43</v>
      </c>
      <c r="B37">
        <v>13</v>
      </c>
    </row>
    <row r="38" spans="1:2" x14ac:dyDescent="0.3">
      <c r="A38" s="10" t="s">
        <v>29</v>
      </c>
      <c r="B38">
        <v>2</v>
      </c>
    </row>
    <row r="39" spans="1:2" x14ac:dyDescent="0.3">
      <c r="A39" s="10" t="s">
        <v>27</v>
      </c>
      <c r="B39">
        <v>4</v>
      </c>
    </row>
    <row r="40" spans="1:2" x14ac:dyDescent="0.3">
      <c r="A40" s="10" t="s">
        <v>25</v>
      </c>
      <c r="B40">
        <v>5</v>
      </c>
    </row>
    <row r="41" spans="1:2" x14ac:dyDescent="0.3">
      <c r="A41" s="10" t="s">
        <v>24</v>
      </c>
      <c r="B41">
        <v>2</v>
      </c>
    </row>
    <row r="42" spans="1:2" x14ac:dyDescent="0.3">
      <c r="A42" s="9" t="s">
        <v>48</v>
      </c>
      <c r="B42">
        <v>61</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F016-6CE4-49BE-828F-422F20DE249F}">
  <dimension ref="A3:D24"/>
  <sheetViews>
    <sheetView workbookViewId="0">
      <selection activeCell="D4" sqref="D4"/>
    </sheetView>
  </sheetViews>
  <sheetFormatPr defaultRowHeight="14.4" x14ac:dyDescent="0.3"/>
  <cols>
    <col min="1" max="1" width="12.44140625" bestFit="1" customWidth="1"/>
    <col min="2" max="2" width="18.21875" bestFit="1" customWidth="1"/>
    <col min="3" max="3" width="19.5546875" bestFit="1" customWidth="1"/>
    <col min="4" max="4" width="16.109375" bestFit="1" customWidth="1"/>
  </cols>
  <sheetData>
    <row r="3" spans="1:4" x14ac:dyDescent="0.3">
      <c r="A3" s="8" t="s">
        <v>47</v>
      </c>
      <c r="B3" t="s">
        <v>52</v>
      </c>
      <c r="C3" t="s">
        <v>54</v>
      </c>
      <c r="D3" t="s">
        <v>55</v>
      </c>
    </row>
    <row r="4" spans="1:4" x14ac:dyDescent="0.3">
      <c r="A4" s="9" t="s">
        <v>29</v>
      </c>
      <c r="B4">
        <v>767</v>
      </c>
      <c r="C4">
        <v>490</v>
      </c>
      <c r="D4" s="11">
        <v>1.5653061224489795</v>
      </c>
    </row>
    <row r="5" spans="1:4" x14ac:dyDescent="0.3">
      <c r="A5" s="9" t="s">
        <v>26</v>
      </c>
      <c r="B5">
        <v>1394</v>
      </c>
      <c r="C5">
        <v>900</v>
      </c>
      <c r="D5" s="11">
        <v>1.548888888888889</v>
      </c>
    </row>
    <row r="6" spans="1:4" x14ac:dyDescent="0.3">
      <c r="A6" s="9" t="s">
        <v>27</v>
      </c>
      <c r="B6">
        <v>355</v>
      </c>
      <c r="C6">
        <v>240</v>
      </c>
      <c r="D6" s="11">
        <v>1.4791666666666667</v>
      </c>
    </row>
    <row r="7" spans="1:4" x14ac:dyDescent="0.3">
      <c r="A7" s="9" t="s">
        <v>25</v>
      </c>
      <c r="B7">
        <v>529</v>
      </c>
      <c r="C7">
        <v>360</v>
      </c>
      <c r="D7" s="11">
        <v>1.4694444444444446</v>
      </c>
    </row>
    <row r="8" spans="1:4" x14ac:dyDescent="0.3">
      <c r="A8" s="9" t="s">
        <v>24</v>
      </c>
      <c r="B8">
        <v>135</v>
      </c>
      <c r="C8">
        <v>60</v>
      </c>
      <c r="D8" s="11">
        <v>2.25</v>
      </c>
    </row>
    <row r="9" spans="1:4" x14ac:dyDescent="0.3">
      <c r="A9" s="9" t="s">
        <v>28</v>
      </c>
      <c r="B9">
        <v>678</v>
      </c>
      <c r="C9">
        <v>420</v>
      </c>
      <c r="D9" s="11">
        <v>1.6142857142857143</v>
      </c>
    </row>
    <row r="10" spans="1:4" x14ac:dyDescent="0.3">
      <c r="A10" s="9" t="s">
        <v>48</v>
      </c>
      <c r="B10">
        <v>3858</v>
      </c>
      <c r="C10">
        <v>2470</v>
      </c>
      <c r="D10" s="11">
        <v>1.5619433198380568</v>
      </c>
    </row>
    <row r="17" spans="1:2" x14ac:dyDescent="0.3">
      <c r="A17" s="8" t="s">
        <v>47</v>
      </c>
      <c r="B17" t="s">
        <v>96</v>
      </c>
    </row>
    <row r="18" spans="1:2" x14ac:dyDescent="0.3">
      <c r="A18" s="9" t="s">
        <v>29</v>
      </c>
      <c r="B18">
        <v>5</v>
      </c>
    </row>
    <row r="19" spans="1:2" x14ac:dyDescent="0.3">
      <c r="A19" s="9" t="s">
        <v>26</v>
      </c>
      <c r="B19">
        <v>15</v>
      </c>
    </row>
    <row r="20" spans="1:2" x14ac:dyDescent="0.3">
      <c r="A20" s="9" t="s">
        <v>27</v>
      </c>
      <c r="B20">
        <v>4</v>
      </c>
    </row>
    <row r="21" spans="1:2" x14ac:dyDescent="0.3">
      <c r="A21" s="9" t="s">
        <v>25</v>
      </c>
      <c r="B21">
        <v>6</v>
      </c>
    </row>
    <row r="22" spans="1:2" x14ac:dyDescent="0.3">
      <c r="A22" s="9" t="s">
        <v>24</v>
      </c>
      <c r="B22">
        <v>1</v>
      </c>
    </row>
    <row r="23" spans="1:2" x14ac:dyDescent="0.3">
      <c r="A23" s="9" t="s">
        <v>28</v>
      </c>
      <c r="B23">
        <v>7</v>
      </c>
    </row>
    <row r="24" spans="1:2" x14ac:dyDescent="0.3">
      <c r="A24" s="9" t="s">
        <v>48</v>
      </c>
      <c r="B24">
        <v>38</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AD34A-8673-4B8E-A851-6C825ED92E4F}">
  <dimension ref="A3:B6"/>
  <sheetViews>
    <sheetView workbookViewId="0">
      <selection activeCell="I24" sqref="I24"/>
    </sheetView>
  </sheetViews>
  <sheetFormatPr defaultRowHeight="14.4" x14ac:dyDescent="0.3"/>
  <cols>
    <col min="1" max="1" width="10.5546875" bestFit="1" customWidth="1"/>
    <col min="2" max="2" width="20.109375" bestFit="1" customWidth="1"/>
    <col min="3" max="3" width="7.109375" bestFit="1" customWidth="1"/>
    <col min="4" max="4" width="10.5546875" bestFit="1" customWidth="1"/>
  </cols>
  <sheetData>
    <row r="3" spans="1:2" x14ac:dyDescent="0.3">
      <c r="B3" t="s">
        <v>50</v>
      </c>
    </row>
    <row r="4" spans="1:2" x14ac:dyDescent="0.3">
      <c r="A4" s="9" t="s">
        <v>20</v>
      </c>
      <c r="B4">
        <v>29</v>
      </c>
    </row>
    <row r="5" spans="1:2" x14ac:dyDescent="0.3">
      <c r="A5" s="9" t="s">
        <v>21</v>
      </c>
      <c r="B5">
        <v>32</v>
      </c>
    </row>
    <row r="6" spans="1:2" x14ac:dyDescent="0.3">
      <c r="A6" s="9" t="s">
        <v>48</v>
      </c>
      <c r="B6">
        <v>61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00091-C26C-44D6-B9E9-2BF411E7D7C7}">
  <dimension ref="A1:J39"/>
  <sheetViews>
    <sheetView workbookViewId="0">
      <selection activeCell="L15" sqref="L15"/>
    </sheetView>
  </sheetViews>
  <sheetFormatPr defaultRowHeight="14.4" x14ac:dyDescent="0.3"/>
  <cols>
    <col min="1" max="1" width="9.33203125" bestFit="1" customWidth="1"/>
    <col min="2" max="2" width="9.77734375" bestFit="1" customWidth="1"/>
    <col min="3" max="3" width="8" bestFit="1" customWidth="1"/>
    <col min="4" max="4" width="10.6640625" bestFit="1" customWidth="1"/>
    <col min="5" max="5" width="11.77734375" bestFit="1" customWidth="1"/>
    <col min="6" max="6" width="11" bestFit="1" customWidth="1"/>
    <col min="7" max="7" width="12" bestFit="1" customWidth="1"/>
    <col min="8" max="8" width="14.21875" bestFit="1" customWidth="1"/>
    <col min="9" max="9" width="15.6640625" bestFit="1" customWidth="1"/>
    <col min="10" max="10" width="11.33203125" style="7" bestFit="1" customWidth="1"/>
    <col min="11" max="13" width="10.6640625" bestFit="1" customWidth="1"/>
  </cols>
  <sheetData>
    <row r="1" spans="1:10" x14ac:dyDescent="0.3">
      <c r="A1" t="s">
        <v>0</v>
      </c>
      <c r="B1" t="s">
        <v>1</v>
      </c>
      <c r="C1" t="s">
        <v>2</v>
      </c>
      <c r="D1" t="s">
        <v>3</v>
      </c>
      <c r="E1" t="s">
        <v>4</v>
      </c>
      <c r="F1" t="s">
        <v>5</v>
      </c>
      <c r="G1" t="s">
        <v>44</v>
      </c>
      <c r="H1" t="s">
        <v>51</v>
      </c>
      <c r="I1" t="s">
        <v>39</v>
      </c>
      <c r="J1"/>
    </row>
    <row r="2" spans="1:10" x14ac:dyDescent="0.3">
      <c r="A2" s="4">
        <v>45533</v>
      </c>
      <c r="B2" t="s">
        <v>24</v>
      </c>
      <c r="C2" t="s">
        <v>58</v>
      </c>
      <c r="D2" t="s">
        <v>43</v>
      </c>
      <c r="E2" s="5">
        <v>0.49305555555555558</v>
      </c>
      <c r="F2" s="5">
        <v>0.58680555555555558</v>
      </c>
      <c r="G2">
        <v>9.375E-2</v>
      </c>
      <c r="H2">
        <v>135</v>
      </c>
      <c r="I2">
        <v>60</v>
      </c>
      <c r="J2"/>
    </row>
    <row r="3" spans="1:10" x14ac:dyDescent="0.3">
      <c r="A3" s="4">
        <v>45533</v>
      </c>
      <c r="B3" t="s">
        <v>25</v>
      </c>
      <c r="C3" t="s">
        <v>59</v>
      </c>
      <c r="D3" t="s">
        <v>43</v>
      </c>
      <c r="E3" s="5">
        <v>0.58680555555555558</v>
      </c>
      <c r="F3" s="5">
        <v>0.65625</v>
      </c>
      <c r="G3">
        <v>6.9444444444444448E-2</v>
      </c>
      <c r="H3">
        <v>100</v>
      </c>
      <c r="I3">
        <v>60</v>
      </c>
      <c r="J3"/>
    </row>
    <row r="4" spans="1:10" x14ac:dyDescent="0.3">
      <c r="A4" s="4">
        <v>45533</v>
      </c>
      <c r="B4" t="s">
        <v>25</v>
      </c>
      <c r="C4" t="s">
        <v>60</v>
      </c>
      <c r="D4" t="s">
        <v>43</v>
      </c>
      <c r="E4" s="5">
        <v>0.65625</v>
      </c>
      <c r="F4" s="5">
        <v>0.73263888888888884</v>
      </c>
      <c r="G4">
        <v>7.6388888888888895E-2</v>
      </c>
      <c r="H4">
        <v>110</v>
      </c>
      <c r="I4">
        <v>60</v>
      </c>
      <c r="J4"/>
    </row>
    <row r="5" spans="1:10" x14ac:dyDescent="0.3">
      <c r="A5" s="4">
        <v>45533</v>
      </c>
      <c r="B5" t="s">
        <v>25</v>
      </c>
      <c r="C5" t="s">
        <v>61</v>
      </c>
      <c r="D5" t="s">
        <v>43</v>
      </c>
      <c r="E5" s="5">
        <v>0.73263888888888884</v>
      </c>
      <c r="F5" s="5">
        <v>0.80208333333333337</v>
      </c>
      <c r="G5">
        <v>6.9444444444444448E-2</v>
      </c>
      <c r="H5">
        <v>100</v>
      </c>
      <c r="I5">
        <v>60</v>
      </c>
      <c r="J5"/>
    </row>
    <row r="6" spans="1:10" x14ac:dyDescent="0.3">
      <c r="A6" s="4">
        <v>45533</v>
      </c>
      <c r="B6" t="s">
        <v>25</v>
      </c>
      <c r="C6" t="s">
        <v>62</v>
      </c>
      <c r="D6" t="s">
        <v>40</v>
      </c>
      <c r="E6" s="5">
        <v>0.80208333333333337</v>
      </c>
      <c r="F6" s="5">
        <v>0.86041666666666672</v>
      </c>
      <c r="G6">
        <v>5.8333333333333334E-2</v>
      </c>
      <c r="H6">
        <v>84</v>
      </c>
      <c r="I6">
        <v>60</v>
      </c>
      <c r="J6"/>
    </row>
    <row r="7" spans="1:10" x14ac:dyDescent="0.3">
      <c r="A7" s="4">
        <v>45533</v>
      </c>
      <c r="B7" t="s">
        <v>25</v>
      </c>
      <c r="C7" t="s">
        <v>63</v>
      </c>
      <c r="D7" t="s">
        <v>40</v>
      </c>
      <c r="E7" s="5">
        <v>0.86041666666666672</v>
      </c>
      <c r="F7" s="5">
        <v>0.90208333333333335</v>
      </c>
      <c r="G7">
        <v>4.1666666666666664E-2</v>
      </c>
      <c r="H7">
        <v>60</v>
      </c>
      <c r="I7">
        <v>60</v>
      </c>
      <c r="J7"/>
    </row>
    <row r="8" spans="1:10" x14ac:dyDescent="0.3">
      <c r="A8" s="4">
        <v>45533</v>
      </c>
      <c r="B8" t="s">
        <v>25</v>
      </c>
      <c r="C8" t="s">
        <v>64</v>
      </c>
      <c r="D8" t="s">
        <v>40</v>
      </c>
      <c r="E8" s="5">
        <v>0.90208333333333335</v>
      </c>
      <c r="F8" s="5">
        <v>0.95416666666666672</v>
      </c>
      <c r="G8">
        <v>5.2083333333333336E-2</v>
      </c>
      <c r="H8">
        <v>75</v>
      </c>
      <c r="I8">
        <v>60</v>
      </c>
      <c r="J8"/>
    </row>
    <row r="9" spans="1:10" x14ac:dyDescent="0.3">
      <c r="A9" s="4">
        <v>45534</v>
      </c>
      <c r="B9" t="s">
        <v>26</v>
      </c>
      <c r="C9" t="s">
        <v>65</v>
      </c>
      <c r="D9" t="s">
        <v>41</v>
      </c>
      <c r="E9" s="5">
        <v>0.1701388888888889</v>
      </c>
      <c r="F9" s="5">
        <v>0.25347222222222221</v>
      </c>
      <c r="G9">
        <v>8.3333333333333329E-2</v>
      </c>
      <c r="H9">
        <v>120</v>
      </c>
      <c r="I9">
        <v>60</v>
      </c>
      <c r="J9"/>
    </row>
    <row r="10" spans="1:10" x14ac:dyDescent="0.3">
      <c r="A10" s="4">
        <v>45534</v>
      </c>
      <c r="B10" t="s">
        <v>26</v>
      </c>
      <c r="C10" t="s">
        <v>66</v>
      </c>
      <c r="D10" t="s">
        <v>41</v>
      </c>
      <c r="E10" s="5">
        <v>0.25347222222222221</v>
      </c>
      <c r="F10" s="5">
        <v>0.3125</v>
      </c>
      <c r="G10">
        <v>5.9027777777777776E-2</v>
      </c>
      <c r="H10">
        <v>85</v>
      </c>
      <c r="I10">
        <v>60</v>
      </c>
      <c r="J10"/>
    </row>
    <row r="11" spans="1:10" x14ac:dyDescent="0.3">
      <c r="A11" s="4">
        <v>45534</v>
      </c>
      <c r="B11" t="s">
        <v>26</v>
      </c>
      <c r="C11" t="s">
        <v>67</v>
      </c>
      <c r="D11" t="s">
        <v>41</v>
      </c>
      <c r="E11" s="5">
        <v>0.3125</v>
      </c>
      <c r="F11" s="5">
        <v>0.39027777777777778</v>
      </c>
      <c r="G11">
        <v>7.7777777777777779E-2</v>
      </c>
      <c r="H11">
        <v>112</v>
      </c>
      <c r="I11">
        <v>60</v>
      </c>
      <c r="J11"/>
    </row>
    <row r="12" spans="1:10" x14ac:dyDescent="0.3">
      <c r="A12" s="4">
        <v>45534</v>
      </c>
      <c r="B12" t="s">
        <v>26</v>
      </c>
      <c r="C12" t="s">
        <v>68</v>
      </c>
      <c r="D12" t="s">
        <v>42</v>
      </c>
      <c r="E12" s="5">
        <v>0.39027777777777778</v>
      </c>
      <c r="F12" s="5">
        <v>0.44236111111111109</v>
      </c>
      <c r="G12">
        <v>5.2083333333333336E-2</v>
      </c>
      <c r="H12">
        <v>75</v>
      </c>
      <c r="I12">
        <v>60</v>
      </c>
      <c r="J12"/>
    </row>
    <row r="13" spans="1:10" x14ac:dyDescent="0.3">
      <c r="A13" s="4">
        <v>45534</v>
      </c>
      <c r="B13" t="s">
        <v>26</v>
      </c>
      <c r="C13" t="s">
        <v>69</v>
      </c>
      <c r="D13" t="s">
        <v>42</v>
      </c>
      <c r="E13" s="5">
        <v>0.44236111111111109</v>
      </c>
      <c r="F13" s="5">
        <v>0.50138888888888888</v>
      </c>
      <c r="G13">
        <v>5.9027777777777776E-2</v>
      </c>
      <c r="H13">
        <v>85</v>
      </c>
      <c r="I13">
        <v>60</v>
      </c>
      <c r="J13"/>
    </row>
    <row r="14" spans="1:10" x14ac:dyDescent="0.3">
      <c r="A14" s="4">
        <v>45534</v>
      </c>
      <c r="B14" t="s">
        <v>26</v>
      </c>
      <c r="C14" t="s">
        <v>70</v>
      </c>
      <c r="D14" t="s">
        <v>42</v>
      </c>
      <c r="E14" s="5">
        <v>0.50138888888888888</v>
      </c>
      <c r="F14" s="5">
        <v>0.59375</v>
      </c>
      <c r="G14">
        <v>9.2361111111111116E-2</v>
      </c>
      <c r="H14">
        <v>133</v>
      </c>
      <c r="I14">
        <v>60</v>
      </c>
      <c r="J14"/>
    </row>
    <row r="15" spans="1:10" x14ac:dyDescent="0.3">
      <c r="A15" s="4">
        <v>45534</v>
      </c>
      <c r="B15" t="s">
        <v>26</v>
      </c>
      <c r="C15" t="s">
        <v>71</v>
      </c>
      <c r="D15" t="s">
        <v>42</v>
      </c>
      <c r="E15" s="5">
        <v>0.59375</v>
      </c>
      <c r="F15" s="5">
        <v>0.66319444444444442</v>
      </c>
      <c r="G15">
        <v>6.9444444444444448E-2</v>
      </c>
      <c r="H15">
        <v>100</v>
      </c>
      <c r="I15">
        <v>60</v>
      </c>
      <c r="J15"/>
    </row>
    <row r="16" spans="1:10" x14ac:dyDescent="0.3">
      <c r="A16" s="4">
        <v>45534</v>
      </c>
      <c r="B16" t="s">
        <v>26</v>
      </c>
      <c r="C16" t="s">
        <v>72</v>
      </c>
      <c r="D16" t="s">
        <v>40</v>
      </c>
      <c r="E16" s="5">
        <v>0.66319444444444442</v>
      </c>
      <c r="F16" s="5">
        <v>0.71875</v>
      </c>
      <c r="G16">
        <v>5.5555555555555552E-2</v>
      </c>
      <c r="H16">
        <v>80</v>
      </c>
      <c r="I16">
        <v>60</v>
      </c>
      <c r="J16"/>
    </row>
    <row r="17" spans="1:10" x14ac:dyDescent="0.3">
      <c r="A17" s="4">
        <v>45534</v>
      </c>
      <c r="B17" t="s">
        <v>26</v>
      </c>
      <c r="C17" t="s">
        <v>73</v>
      </c>
      <c r="D17" t="s">
        <v>40</v>
      </c>
      <c r="E17" s="5">
        <v>0.71875</v>
      </c>
      <c r="F17" s="5">
        <v>0.79097222222222219</v>
      </c>
      <c r="G17">
        <v>7.2222222222222215E-2</v>
      </c>
      <c r="H17">
        <v>104</v>
      </c>
      <c r="I17">
        <v>60</v>
      </c>
      <c r="J17"/>
    </row>
    <row r="18" spans="1:10" x14ac:dyDescent="0.3">
      <c r="A18" s="4">
        <v>45534</v>
      </c>
      <c r="B18" t="s">
        <v>26</v>
      </c>
      <c r="C18" t="s">
        <v>74</v>
      </c>
      <c r="D18" t="s">
        <v>40</v>
      </c>
      <c r="E18" s="5">
        <v>0.79097222222222219</v>
      </c>
      <c r="F18" s="5">
        <v>0.84861111111111109</v>
      </c>
      <c r="G18">
        <v>5.7638888888888892E-2</v>
      </c>
      <c r="H18">
        <v>83</v>
      </c>
      <c r="I18">
        <v>60</v>
      </c>
      <c r="J18"/>
    </row>
    <row r="19" spans="1:10" x14ac:dyDescent="0.3">
      <c r="A19" s="4">
        <v>45534</v>
      </c>
      <c r="B19" t="s">
        <v>26</v>
      </c>
      <c r="C19" t="s">
        <v>75</v>
      </c>
      <c r="D19" t="s">
        <v>40</v>
      </c>
      <c r="E19" s="5">
        <v>0.84861111111111109</v>
      </c>
      <c r="F19" s="5">
        <v>0.92638888888888893</v>
      </c>
      <c r="G19">
        <v>7.7777777777777779E-2</v>
      </c>
      <c r="H19">
        <v>112</v>
      </c>
      <c r="I19">
        <v>60</v>
      </c>
      <c r="J19"/>
    </row>
    <row r="20" spans="1:10" x14ac:dyDescent="0.3">
      <c r="A20" s="4">
        <v>45534</v>
      </c>
      <c r="B20" t="s">
        <v>26</v>
      </c>
      <c r="C20" t="s">
        <v>76</v>
      </c>
      <c r="D20" t="s">
        <v>40</v>
      </c>
      <c r="E20" s="5">
        <v>0.92638888888888893</v>
      </c>
      <c r="F20" s="5">
        <v>0.97847222222222219</v>
      </c>
      <c r="G20">
        <v>5.2083333333333336E-2</v>
      </c>
      <c r="H20">
        <v>75</v>
      </c>
      <c r="I20">
        <v>60</v>
      </c>
      <c r="J20"/>
    </row>
    <row r="21" spans="1:10" x14ac:dyDescent="0.3">
      <c r="A21" s="4">
        <v>45535</v>
      </c>
      <c r="B21" t="s">
        <v>26</v>
      </c>
      <c r="C21" t="s">
        <v>77</v>
      </c>
      <c r="D21" t="s">
        <v>41</v>
      </c>
      <c r="E21" s="5">
        <v>0.32291666666666669</v>
      </c>
      <c r="F21" s="5">
        <v>0.37847222222222221</v>
      </c>
      <c r="G21">
        <v>5.5555555555555552E-2</v>
      </c>
      <c r="H21">
        <v>80</v>
      </c>
      <c r="I21">
        <v>60</v>
      </c>
      <c r="J21"/>
    </row>
    <row r="22" spans="1:10" x14ac:dyDescent="0.3">
      <c r="A22" s="4">
        <v>45535</v>
      </c>
      <c r="B22" t="s">
        <v>26</v>
      </c>
      <c r="C22" t="s">
        <v>78</v>
      </c>
      <c r="D22" t="s">
        <v>41</v>
      </c>
      <c r="E22" s="5">
        <v>0.37847222222222221</v>
      </c>
      <c r="F22" s="5">
        <v>0.44097222222222221</v>
      </c>
      <c r="G22">
        <v>6.25E-2</v>
      </c>
      <c r="H22">
        <v>90</v>
      </c>
      <c r="I22">
        <v>60</v>
      </c>
      <c r="J22"/>
    </row>
    <row r="23" spans="1:10" x14ac:dyDescent="0.3">
      <c r="A23" s="4">
        <v>45535</v>
      </c>
      <c r="B23" t="s">
        <v>26</v>
      </c>
      <c r="C23" t="s">
        <v>79</v>
      </c>
      <c r="D23" t="s">
        <v>41</v>
      </c>
      <c r="E23" s="5">
        <v>0.44097222222222221</v>
      </c>
      <c r="F23" s="5">
        <v>0.4826388888888889</v>
      </c>
      <c r="G23">
        <v>4.1666666666666664E-2</v>
      </c>
      <c r="H23">
        <v>60</v>
      </c>
      <c r="I23">
        <v>60</v>
      </c>
      <c r="J23"/>
    </row>
    <row r="24" spans="1:10" x14ac:dyDescent="0.3">
      <c r="A24" s="4">
        <v>45535</v>
      </c>
      <c r="B24" t="s">
        <v>27</v>
      </c>
      <c r="C24" t="s">
        <v>80</v>
      </c>
      <c r="D24" t="s">
        <v>41</v>
      </c>
      <c r="E24" s="5">
        <v>0.4826388888888889</v>
      </c>
      <c r="F24" s="5">
        <v>0.53819444444444442</v>
      </c>
      <c r="G24">
        <v>5.5555555555555552E-2</v>
      </c>
      <c r="H24">
        <v>80</v>
      </c>
      <c r="I24">
        <v>60</v>
      </c>
      <c r="J24"/>
    </row>
    <row r="25" spans="1:10" x14ac:dyDescent="0.3">
      <c r="A25" s="4">
        <v>45535</v>
      </c>
      <c r="B25" t="s">
        <v>27</v>
      </c>
      <c r="C25" t="s">
        <v>81</v>
      </c>
      <c r="D25" t="s">
        <v>43</v>
      </c>
      <c r="E25" s="5">
        <v>0.53819444444444442</v>
      </c>
      <c r="F25" s="5">
        <v>0.61458333333333337</v>
      </c>
      <c r="G25">
        <v>7.6388888888888895E-2</v>
      </c>
      <c r="H25">
        <v>110</v>
      </c>
      <c r="I25">
        <v>60</v>
      </c>
      <c r="J25"/>
    </row>
    <row r="26" spans="1:10" x14ac:dyDescent="0.3">
      <c r="A26" s="4">
        <v>45535</v>
      </c>
      <c r="B26" t="s">
        <v>27</v>
      </c>
      <c r="C26" t="s">
        <v>82</v>
      </c>
      <c r="D26" t="s">
        <v>43</v>
      </c>
      <c r="E26" s="5">
        <v>0.61458333333333337</v>
      </c>
      <c r="F26" s="5">
        <v>0.6875</v>
      </c>
      <c r="G26">
        <v>7.2916666666666671E-2</v>
      </c>
      <c r="H26">
        <v>105</v>
      </c>
      <c r="I26">
        <v>60</v>
      </c>
      <c r="J26"/>
    </row>
    <row r="27" spans="1:10" x14ac:dyDescent="0.3">
      <c r="A27" s="4">
        <v>45535</v>
      </c>
      <c r="B27" t="s">
        <v>27</v>
      </c>
      <c r="C27" t="s">
        <v>83</v>
      </c>
      <c r="D27" t="s">
        <v>43</v>
      </c>
      <c r="E27" s="5">
        <v>0.6875</v>
      </c>
      <c r="F27" s="5">
        <v>0.72916666666666663</v>
      </c>
      <c r="G27">
        <v>4.1666666666666664E-2</v>
      </c>
      <c r="H27">
        <v>60</v>
      </c>
      <c r="I27">
        <v>60</v>
      </c>
      <c r="J27"/>
    </row>
    <row r="28" spans="1:10" x14ac:dyDescent="0.3">
      <c r="A28" s="4">
        <v>45537</v>
      </c>
      <c r="B28" t="s">
        <v>28</v>
      </c>
      <c r="C28" t="s">
        <v>84</v>
      </c>
      <c r="D28" t="s">
        <v>41</v>
      </c>
      <c r="E28" s="5">
        <v>4.1666666666666664E-2</v>
      </c>
      <c r="F28" s="5">
        <v>0.11458333333333333</v>
      </c>
      <c r="G28">
        <v>7.2916666666666671E-2</v>
      </c>
      <c r="H28">
        <v>105</v>
      </c>
      <c r="I28">
        <v>60</v>
      </c>
      <c r="J28"/>
    </row>
    <row r="29" spans="1:10" x14ac:dyDescent="0.3">
      <c r="A29" s="4">
        <v>45537</v>
      </c>
      <c r="B29" t="s">
        <v>28</v>
      </c>
      <c r="C29" t="s">
        <v>85</v>
      </c>
      <c r="D29" t="s">
        <v>41</v>
      </c>
      <c r="E29" s="5">
        <v>0.11458333333333333</v>
      </c>
      <c r="F29" s="5">
        <v>0.1701388888888889</v>
      </c>
      <c r="G29">
        <v>5.5555555555555552E-2</v>
      </c>
      <c r="H29">
        <v>80</v>
      </c>
      <c r="I29">
        <v>60</v>
      </c>
      <c r="J29"/>
    </row>
    <row r="30" spans="1:10" x14ac:dyDescent="0.3">
      <c r="A30" s="4">
        <v>45537</v>
      </c>
      <c r="B30" t="s">
        <v>28</v>
      </c>
      <c r="C30" t="s">
        <v>86</v>
      </c>
      <c r="D30" t="s">
        <v>41</v>
      </c>
      <c r="E30" s="5">
        <v>0.1701388888888889</v>
      </c>
      <c r="F30" s="5">
        <v>0.2361111111111111</v>
      </c>
      <c r="G30">
        <v>6.5972222222222224E-2</v>
      </c>
      <c r="H30">
        <v>95</v>
      </c>
      <c r="I30">
        <v>60</v>
      </c>
      <c r="J30"/>
    </row>
    <row r="31" spans="1:10" x14ac:dyDescent="0.3">
      <c r="A31" s="4">
        <v>45537</v>
      </c>
      <c r="B31" t="s">
        <v>28</v>
      </c>
      <c r="C31" t="s">
        <v>87</v>
      </c>
      <c r="D31" t="s">
        <v>41</v>
      </c>
      <c r="E31" s="5">
        <v>0.2361111111111111</v>
      </c>
      <c r="F31" s="5">
        <v>0.3215277777777778</v>
      </c>
      <c r="G31">
        <v>8.5416666666666669E-2</v>
      </c>
      <c r="H31">
        <v>123</v>
      </c>
      <c r="I31">
        <v>60</v>
      </c>
      <c r="J31"/>
    </row>
    <row r="32" spans="1:10" x14ac:dyDescent="0.3">
      <c r="A32" s="4">
        <v>45537</v>
      </c>
      <c r="B32" t="s">
        <v>28</v>
      </c>
      <c r="C32" t="s">
        <v>88</v>
      </c>
      <c r="D32" t="s">
        <v>42</v>
      </c>
      <c r="E32" s="5">
        <v>0.3215277777777778</v>
      </c>
      <c r="F32" s="5">
        <v>0.36805555555555558</v>
      </c>
      <c r="G32">
        <v>4.6527777777777779E-2</v>
      </c>
      <c r="H32">
        <v>67</v>
      </c>
      <c r="I32">
        <v>60</v>
      </c>
      <c r="J32"/>
    </row>
    <row r="33" spans="1:10" x14ac:dyDescent="0.3">
      <c r="A33" s="4">
        <v>45537</v>
      </c>
      <c r="B33" t="s">
        <v>28</v>
      </c>
      <c r="C33" t="s">
        <v>89</v>
      </c>
      <c r="D33" t="s">
        <v>42</v>
      </c>
      <c r="E33" s="5">
        <v>0.36805555555555558</v>
      </c>
      <c r="F33" s="5">
        <v>0.43055555555555558</v>
      </c>
      <c r="G33">
        <v>6.25E-2</v>
      </c>
      <c r="H33">
        <v>90</v>
      </c>
      <c r="I33">
        <v>60</v>
      </c>
      <c r="J33"/>
    </row>
    <row r="34" spans="1:10" x14ac:dyDescent="0.3">
      <c r="A34" s="4">
        <v>45537</v>
      </c>
      <c r="B34" t="s">
        <v>28</v>
      </c>
      <c r="C34" t="s">
        <v>90</v>
      </c>
      <c r="D34" t="s">
        <v>42</v>
      </c>
      <c r="E34" s="5">
        <v>0.43055555555555558</v>
      </c>
      <c r="F34" s="5">
        <v>0.51249999999999996</v>
      </c>
      <c r="G34">
        <v>8.1944444444444445E-2</v>
      </c>
      <c r="H34">
        <v>118</v>
      </c>
      <c r="I34">
        <v>60</v>
      </c>
      <c r="J34"/>
    </row>
    <row r="35" spans="1:10" x14ac:dyDescent="0.3">
      <c r="A35" s="4">
        <v>45537</v>
      </c>
      <c r="B35" t="s">
        <v>29</v>
      </c>
      <c r="C35" t="s">
        <v>91</v>
      </c>
      <c r="D35" t="s">
        <v>42</v>
      </c>
      <c r="E35" s="5">
        <v>0.51249999999999996</v>
      </c>
      <c r="F35" s="5">
        <v>0.61805555555555558</v>
      </c>
      <c r="G35">
        <v>0.10555555555555556</v>
      </c>
      <c r="H35">
        <v>152</v>
      </c>
      <c r="I35">
        <v>98</v>
      </c>
      <c r="J35"/>
    </row>
    <row r="36" spans="1:10" x14ac:dyDescent="0.3">
      <c r="A36" s="4">
        <v>45537</v>
      </c>
      <c r="B36" t="s">
        <v>29</v>
      </c>
      <c r="C36" t="s">
        <v>92</v>
      </c>
      <c r="D36" t="s">
        <v>40</v>
      </c>
      <c r="E36" s="5">
        <v>0.61805555555555558</v>
      </c>
      <c r="F36" s="5">
        <v>0.70138888888888884</v>
      </c>
      <c r="G36">
        <v>8.3333333333333329E-2</v>
      </c>
      <c r="H36">
        <v>120</v>
      </c>
      <c r="I36">
        <v>98</v>
      </c>
      <c r="J36"/>
    </row>
    <row r="37" spans="1:10" x14ac:dyDescent="0.3">
      <c r="A37" s="4">
        <v>45537</v>
      </c>
      <c r="B37" t="s">
        <v>29</v>
      </c>
      <c r="C37" t="s">
        <v>93</v>
      </c>
      <c r="D37" t="s">
        <v>40</v>
      </c>
      <c r="E37" s="5">
        <v>0.70138888888888884</v>
      </c>
      <c r="F37" s="5">
        <v>0.8125</v>
      </c>
      <c r="G37">
        <v>0.1111111111111111</v>
      </c>
      <c r="H37">
        <v>160</v>
      </c>
      <c r="I37">
        <v>98</v>
      </c>
      <c r="J37"/>
    </row>
    <row r="38" spans="1:10" x14ac:dyDescent="0.3">
      <c r="A38" s="4">
        <v>45537</v>
      </c>
      <c r="B38" t="s">
        <v>29</v>
      </c>
      <c r="C38" t="s">
        <v>94</v>
      </c>
      <c r="D38" t="s">
        <v>40</v>
      </c>
      <c r="E38" s="5">
        <v>0.8125</v>
      </c>
      <c r="F38" s="5">
        <v>0.95486111111111116</v>
      </c>
      <c r="G38">
        <v>0.1423611111111111</v>
      </c>
      <c r="H38">
        <v>205</v>
      </c>
      <c r="I38">
        <v>98</v>
      </c>
      <c r="J38"/>
    </row>
    <row r="39" spans="1:10" x14ac:dyDescent="0.3">
      <c r="A39" s="4">
        <v>45538</v>
      </c>
      <c r="B39" t="s">
        <v>29</v>
      </c>
      <c r="C39" t="s">
        <v>95</v>
      </c>
      <c r="D39" t="s">
        <v>43</v>
      </c>
      <c r="E39" s="5">
        <v>0.95486111111111116</v>
      </c>
      <c r="F39" s="5">
        <v>4.5138888888888888E-2</v>
      </c>
      <c r="G39">
        <v>9.0277777777777776E-2</v>
      </c>
      <c r="H39">
        <v>130</v>
      </c>
      <c r="I39">
        <v>98</v>
      </c>
      <c r="J39"/>
    </row>
  </sheetData>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E92F-E3A8-4F0E-B7A9-4A3D90028439}">
  <dimension ref="A1:F62"/>
  <sheetViews>
    <sheetView topLeftCell="A43" workbookViewId="0">
      <selection activeCell="E75" sqref="E75"/>
    </sheetView>
  </sheetViews>
  <sheetFormatPr defaultRowHeight="14.4" x14ac:dyDescent="0.3"/>
  <cols>
    <col min="1" max="1" width="8" bestFit="1" customWidth="1"/>
    <col min="2" max="2" width="9.77734375" bestFit="1" customWidth="1"/>
    <col min="3" max="3" width="17.44140625" bestFit="1" customWidth="1"/>
    <col min="4" max="4" width="21.88671875" bestFit="1" customWidth="1"/>
    <col min="5" max="5" width="11.6640625" bestFit="1" customWidth="1"/>
    <col min="6" max="6" width="15" bestFit="1" customWidth="1"/>
    <col min="7" max="8" width="10.6640625" bestFit="1" customWidth="1"/>
    <col min="9" max="10" width="25.44140625" bestFit="1" customWidth="1"/>
    <col min="11" max="11" width="20.44140625" customWidth="1"/>
  </cols>
  <sheetData>
    <row r="1" spans="1:6" x14ac:dyDescent="0.3">
      <c r="A1" t="s">
        <v>2</v>
      </c>
      <c r="B1" t="s">
        <v>1</v>
      </c>
      <c r="C1" t="s">
        <v>45</v>
      </c>
      <c r="D1" t="s">
        <v>56</v>
      </c>
      <c r="E1" t="s">
        <v>46</v>
      </c>
      <c r="F1" t="s">
        <v>7</v>
      </c>
    </row>
    <row r="2" spans="1:6" x14ac:dyDescent="0.3">
      <c r="A2">
        <v>422111</v>
      </c>
      <c r="C2">
        <v>2</v>
      </c>
      <c r="D2" t="s">
        <v>8</v>
      </c>
      <c r="E2">
        <v>60</v>
      </c>
      <c r="F2" t="s">
        <v>21</v>
      </c>
    </row>
    <row r="3" spans="1:6" x14ac:dyDescent="0.3">
      <c r="A3">
        <v>422111</v>
      </c>
      <c r="C3">
        <v>7</v>
      </c>
      <c r="D3" t="s">
        <v>12</v>
      </c>
      <c r="E3">
        <v>15</v>
      </c>
      <c r="F3" t="s">
        <v>20</v>
      </c>
    </row>
    <row r="4" spans="1:6" x14ac:dyDescent="0.3">
      <c r="A4">
        <v>422112</v>
      </c>
      <c r="C4">
        <v>2</v>
      </c>
      <c r="D4" t="s">
        <v>8</v>
      </c>
      <c r="E4">
        <v>20</v>
      </c>
      <c r="F4" t="s">
        <v>21</v>
      </c>
    </row>
    <row r="5" spans="1:6" x14ac:dyDescent="0.3">
      <c r="A5">
        <v>422112</v>
      </c>
      <c r="C5">
        <v>8</v>
      </c>
      <c r="D5" t="s">
        <v>13</v>
      </c>
      <c r="E5">
        <v>20</v>
      </c>
      <c r="F5" t="s">
        <v>21</v>
      </c>
    </row>
    <row r="6" spans="1:6" x14ac:dyDescent="0.3">
      <c r="A6">
        <v>422113</v>
      </c>
      <c r="C6">
        <v>2</v>
      </c>
      <c r="D6" t="s">
        <v>8</v>
      </c>
      <c r="E6">
        <v>50</v>
      </c>
      <c r="F6" t="s">
        <v>21</v>
      </c>
    </row>
    <row r="7" spans="1:6" x14ac:dyDescent="0.3">
      <c r="A7">
        <v>422117</v>
      </c>
      <c r="C7">
        <v>2</v>
      </c>
      <c r="D7" t="s">
        <v>8</v>
      </c>
      <c r="E7">
        <v>10</v>
      </c>
      <c r="F7" t="s">
        <v>21</v>
      </c>
    </row>
    <row r="8" spans="1:6" x14ac:dyDescent="0.3">
      <c r="A8">
        <v>422117</v>
      </c>
      <c r="C8">
        <v>6</v>
      </c>
      <c r="D8" t="s">
        <v>9</v>
      </c>
      <c r="E8">
        <v>5</v>
      </c>
      <c r="F8" t="s">
        <v>21</v>
      </c>
    </row>
    <row r="9" spans="1:6" x14ac:dyDescent="0.3">
      <c r="A9">
        <v>422118</v>
      </c>
      <c r="C9">
        <v>7</v>
      </c>
      <c r="D9" t="s">
        <v>12</v>
      </c>
      <c r="E9">
        <v>16</v>
      </c>
      <c r="F9" t="s">
        <v>20</v>
      </c>
    </row>
    <row r="10" spans="1:6" x14ac:dyDescent="0.3">
      <c r="A10">
        <v>422118</v>
      </c>
      <c r="C10">
        <v>6</v>
      </c>
      <c r="D10" t="s">
        <v>9</v>
      </c>
      <c r="E10">
        <v>14</v>
      </c>
      <c r="F10" t="s">
        <v>21</v>
      </c>
    </row>
    <row r="11" spans="1:6" x14ac:dyDescent="0.3">
      <c r="A11">
        <v>422118</v>
      </c>
      <c r="C11">
        <v>11</v>
      </c>
      <c r="D11" t="s">
        <v>11</v>
      </c>
      <c r="E11">
        <v>10</v>
      </c>
      <c r="F11" t="s">
        <v>21</v>
      </c>
    </row>
    <row r="12" spans="1:6" x14ac:dyDescent="0.3">
      <c r="A12">
        <v>422118</v>
      </c>
      <c r="C12">
        <v>12</v>
      </c>
      <c r="D12" t="s">
        <v>16</v>
      </c>
      <c r="E12">
        <v>20</v>
      </c>
      <c r="F12" t="s">
        <v>20</v>
      </c>
    </row>
    <row r="13" spans="1:6" x14ac:dyDescent="0.3">
      <c r="A13">
        <v>422114</v>
      </c>
      <c r="C13">
        <v>4</v>
      </c>
      <c r="D13" t="s">
        <v>14</v>
      </c>
      <c r="E13">
        <v>25</v>
      </c>
      <c r="F13" t="s">
        <v>20</v>
      </c>
    </row>
    <row r="14" spans="1:6" x14ac:dyDescent="0.3">
      <c r="A14">
        <v>422114</v>
      </c>
      <c r="C14">
        <v>6</v>
      </c>
      <c r="D14" t="s">
        <v>9</v>
      </c>
      <c r="E14">
        <v>15</v>
      </c>
      <c r="F14" t="s">
        <v>21</v>
      </c>
    </row>
    <row r="15" spans="1:6" x14ac:dyDescent="0.3">
      <c r="A15">
        <v>422115</v>
      </c>
      <c r="C15">
        <v>10</v>
      </c>
      <c r="D15" t="s">
        <v>18</v>
      </c>
      <c r="E15">
        <v>24</v>
      </c>
      <c r="F15" t="s">
        <v>21</v>
      </c>
    </row>
    <row r="16" spans="1:6" x14ac:dyDescent="0.3">
      <c r="A16">
        <v>422119</v>
      </c>
      <c r="C16">
        <v>4</v>
      </c>
      <c r="D16" t="s">
        <v>14</v>
      </c>
      <c r="E16">
        <v>25</v>
      </c>
      <c r="F16" t="s">
        <v>20</v>
      </c>
    </row>
    <row r="17" spans="1:6" x14ac:dyDescent="0.3">
      <c r="A17">
        <v>422120</v>
      </c>
      <c r="C17">
        <v>4</v>
      </c>
      <c r="D17" t="s">
        <v>14</v>
      </c>
      <c r="E17">
        <v>20</v>
      </c>
      <c r="F17" t="s">
        <v>20</v>
      </c>
    </row>
    <row r="18" spans="1:6" x14ac:dyDescent="0.3">
      <c r="A18">
        <v>422120</v>
      </c>
      <c r="C18">
        <v>5</v>
      </c>
      <c r="D18" t="s">
        <v>10</v>
      </c>
      <c r="E18">
        <v>15</v>
      </c>
      <c r="F18" t="s">
        <v>21</v>
      </c>
    </row>
    <row r="19" spans="1:6" x14ac:dyDescent="0.3">
      <c r="A19">
        <v>422120</v>
      </c>
      <c r="C19">
        <v>9</v>
      </c>
      <c r="D19" t="s">
        <v>15</v>
      </c>
      <c r="E19">
        <v>17</v>
      </c>
      <c r="F19" t="s">
        <v>20</v>
      </c>
    </row>
    <row r="20" spans="1:6" x14ac:dyDescent="0.3">
      <c r="A20">
        <v>422121</v>
      </c>
      <c r="C20">
        <v>7</v>
      </c>
      <c r="D20" t="s">
        <v>12</v>
      </c>
      <c r="E20">
        <v>15</v>
      </c>
      <c r="F20" t="s">
        <v>20</v>
      </c>
    </row>
    <row r="21" spans="1:6" x14ac:dyDescent="0.3">
      <c r="A21">
        <v>422122</v>
      </c>
      <c r="C21">
        <v>7</v>
      </c>
      <c r="D21" t="s">
        <v>12</v>
      </c>
      <c r="E21">
        <v>25</v>
      </c>
      <c r="F21" t="s">
        <v>20</v>
      </c>
    </row>
    <row r="22" spans="1:6" x14ac:dyDescent="0.3">
      <c r="A22">
        <v>422123</v>
      </c>
      <c r="C22">
        <v>4</v>
      </c>
      <c r="D22" t="s">
        <v>14</v>
      </c>
      <c r="E22">
        <v>43</v>
      </c>
      <c r="F22" t="s">
        <v>20</v>
      </c>
    </row>
    <row r="23" spans="1:6" x14ac:dyDescent="0.3">
      <c r="A23">
        <v>422123</v>
      </c>
      <c r="C23">
        <v>7</v>
      </c>
      <c r="D23" t="s">
        <v>12</v>
      </c>
      <c r="E23">
        <v>30</v>
      </c>
      <c r="F23" t="s">
        <v>20</v>
      </c>
    </row>
    <row r="24" spans="1:6" x14ac:dyDescent="0.3">
      <c r="A24">
        <v>422124</v>
      </c>
      <c r="C24">
        <v>5</v>
      </c>
      <c r="D24" t="s">
        <v>10</v>
      </c>
      <c r="E24">
        <v>20</v>
      </c>
      <c r="F24" t="s">
        <v>21</v>
      </c>
    </row>
    <row r="25" spans="1:6" x14ac:dyDescent="0.3">
      <c r="A25">
        <v>422124</v>
      </c>
      <c r="C25">
        <v>6</v>
      </c>
      <c r="D25" t="s">
        <v>9</v>
      </c>
      <c r="E25">
        <v>20</v>
      </c>
      <c r="F25" t="s">
        <v>21</v>
      </c>
    </row>
    <row r="26" spans="1:6" x14ac:dyDescent="0.3">
      <c r="A26">
        <v>422125</v>
      </c>
      <c r="C26">
        <v>11</v>
      </c>
      <c r="D26" t="s">
        <v>11</v>
      </c>
      <c r="E26">
        <v>10</v>
      </c>
      <c r="F26" t="s">
        <v>21</v>
      </c>
    </row>
    <row r="27" spans="1:6" x14ac:dyDescent="0.3">
      <c r="A27">
        <v>422125</v>
      </c>
      <c r="C27">
        <v>12</v>
      </c>
      <c r="D27" t="s">
        <v>16</v>
      </c>
      <c r="E27">
        <v>10</v>
      </c>
      <c r="F27" t="s">
        <v>20</v>
      </c>
    </row>
    <row r="28" spans="1:6" x14ac:dyDescent="0.3">
      <c r="A28">
        <v>422126</v>
      </c>
      <c r="C28">
        <v>8</v>
      </c>
      <c r="D28" t="s">
        <v>13</v>
      </c>
      <c r="E28">
        <v>44</v>
      </c>
      <c r="F28" t="s">
        <v>21</v>
      </c>
    </row>
    <row r="29" spans="1:6" x14ac:dyDescent="0.3">
      <c r="A29">
        <v>422127</v>
      </c>
      <c r="C29">
        <v>6</v>
      </c>
      <c r="D29" t="s">
        <v>9</v>
      </c>
      <c r="E29">
        <v>23</v>
      </c>
      <c r="F29" t="s">
        <v>21</v>
      </c>
    </row>
    <row r="30" spans="1:6" x14ac:dyDescent="0.3">
      <c r="A30">
        <v>422128</v>
      </c>
      <c r="C30">
        <v>5</v>
      </c>
      <c r="D30" t="s">
        <v>10</v>
      </c>
      <c r="E30">
        <v>22</v>
      </c>
      <c r="F30" t="s">
        <v>21</v>
      </c>
    </row>
    <row r="31" spans="1:6" x14ac:dyDescent="0.3">
      <c r="A31">
        <v>422128</v>
      </c>
      <c r="C31">
        <v>7</v>
      </c>
      <c r="D31" t="s">
        <v>12</v>
      </c>
      <c r="E31">
        <v>30</v>
      </c>
      <c r="F31" t="s">
        <v>20</v>
      </c>
    </row>
    <row r="32" spans="1:6" x14ac:dyDescent="0.3">
      <c r="A32">
        <v>422129</v>
      </c>
      <c r="C32">
        <v>12</v>
      </c>
      <c r="D32" t="s">
        <v>16</v>
      </c>
      <c r="E32">
        <v>15</v>
      </c>
      <c r="F32" t="s">
        <v>20</v>
      </c>
    </row>
    <row r="33" spans="1:6" x14ac:dyDescent="0.3">
      <c r="A33">
        <v>422130</v>
      </c>
      <c r="C33">
        <v>2</v>
      </c>
      <c r="D33" t="s">
        <v>8</v>
      </c>
      <c r="E33">
        <v>20</v>
      </c>
      <c r="F33" t="s">
        <v>21</v>
      </c>
    </row>
    <row r="34" spans="1:6" x14ac:dyDescent="0.3">
      <c r="A34">
        <v>422131</v>
      </c>
      <c r="C34">
        <v>4</v>
      </c>
      <c r="D34" t="s">
        <v>14</v>
      </c>
      <c r="E34">
        <v>20</v>
      </c>
      <c r="F34" t="s">
        <v>20</v>
      </c>
    </row>
    <row r="35" spans="1:6" x14ac:dyDescent="0.3">
      <c r="A35">
        <v>422131</v>
      </c>
      <c r="C35">
        <v>10</v>
      </c>
      <c r="D35" t="s">
        <v>18</v>
      </c>
      <c r="E35">
        <v>10</v>
      </c>
      <c r="F35" t="s">
        <v>21</v>
      </c>
    </row>
    <row r="36" spans="1:6" x14ac:dyDescent="0.3">
      <c r="A36">
        <v>422133</v>
      </c>
      <c r="C36">
        <v>7</v>
      </c>
      <c r="D36" t="s">
        <v>12</v>
      </c>
      <c r="E36">
        <v>20</v>
      </c>
      <c r="F36" t="s">
        <v>20</v>
      </c>
    </row>
    <row r="37" spans="1:6" x14ac:dyDescent="0.3">
      <c r="A37">
        <v>422134</v>
      </c>
      <c r="C37">
        <v>7</v>
      </c>
      <c r="D37" t="s">
        <v>12</v>
      </c>
      <c r="E37">
        <v>30</v>
      </c>
      <c r="F37" t="s">
        <v>20</v>
      </c>
    </row>
    <row r="38" spans="1:6" x14ac:dyDescent="0.3">
      <c r="A38">
        <v>422134</v>
      </c>
      <c r="C38">
        <v>8</v>
      </c>
      <c r="D38" t="s">
        <v>13</v>
      </c>
      <c r="E38">
        <v>20</v>
      </c>
      <c r="F38" t="s">
        <v>21</v>
      </c>
    </row>
    <row r="39" spans="1:6" x14ac:dyDescent="0.3">
      <c r="A39">
        <v>422135</v>
      </c>
      <c r="C39">
        <v>4</v>
      </c>
      <c r="D39" t="s">
        <v>14</v>
      </c>
      <c r="E39">
        <v>30</v>
      </c>
      <c r="F39" t="s">
        <v>20</v>
      </c>
    </row>
    <row r="40" spans="1:6" x14ac:dyDescent="0.3">
      <c r="A40">
        <v>422135</v>
      </c>
      <c r="C40">
        <v>12</v>
      </c>
      <c r="D40" t="s">
        <v>16</v>
      </c>
      <c r="E40">
        <v>15</v>
      </c>
      <c r="F40" t="s">
        <v>20</v>
      </c>
    </row>
    <row r="41" spans="1:6" x14ac:dyDescent="0.3">
      <c r="A41">
        <v>422137</v>
      </c>
      <c r="C41">
        <v>8</v>
      </c>
      <c r="D41" t="s">
        <v>13</v>
      </c>
      <c r="E41">
        <v>30</v>
      </c>
      <c r="F41" t="s">
        <v>21</v>
      </c>
    </row>
    <row r="42" spans="1:6" x14ac:dyDescent="0.3">
      <c r="A42">
        <v>422137</v>
      </c>
      <c r="C42">
        <v>10</v>
      </c>
      <c r="D42" t="s">
        <v>18</v>
      </c>
      <c r="E42">
        <v>15</v>
      </c>
      <c r="F42" t="s">
        <v>21</v>
      </c>
    </row>
    <row r="43" spans="1:6" x14ac:dyDescent="0.3">
      <c r="A43">
        <v>422138</v>
      </c>
      <c r="C43">
        <v>3</v>
      </c>
      <c r="D43" t="s">
        <v>19</v>
      </c>
      <c r="E43">
        <v>20</v>
      </c>
      <c r="F43" t="s">
        <v>20</v>
      </c>
    </row>
    <row r="44" spans="1:6" x14ac:dyDescent="0.3">
      <c r="A44">
        <v>422139</v>
      </c>
      <c r="C44">
        <v>4</v>
      </c>
      <c r="D44" t="s">
        <v>14</v>
      </c>
      <c r="E44">
        <v>20</v>
      </c>
      <c r="F44" t="s">
        <v>20</v>
      </c>
    </row>
    <row r="45" spans="1:6" x14ac:dyDescent="0.3">
      <c r="A45">
        <v>422139</v>
      </c>
      <c r="C45">
        <v>6</v>
      </c>
      <c r="D45" t="s">
        <v>9</v>
      </c>
      <c r="E45">
        <v>15</v>
      </c>
      <c r="F45" t="s">
        <v>21</v>
      </c>
    </row>
    <row r="46" spans="1:6" x14ac:dyDescent="0.3">
      <c r="A46">
        <v>422140</v>
      </c>
      <c r="C46">
        <v>6</v>
      </c>
      <c r="D46" t="s">
        <v>9</v>
      </c>
      <c r="E46">
        <v>50</v>
      </c>
      <c r="F46" t="s">
        <v>21</v>
      </c>
    </row>
    <row r="47" spans="1:6" x14ac:dyDescent="0.3">
      <c r="A47">
        <v>422140</v>
      </c>
      <c r="C47">
        <v>11</v>
      </c>
      <c r="D47" t="s">
        <v>11</v>
      </c>
      <c r="E47">
        <v>13</v>
      </c>
      <c r="F47" t="s">
        <v>21</v>
      </c>
    </row>
    <row r="48" spans="1:6" x14ac:dyDescent="0.3">
      <c r="A48">
        <v>422141</v>
      </c>
      <c r="C48">
        <v>12</v>
      </c>
      <c r="D48" t="s">
        <v>16</v>
      </c>
      <c r="E48">
        <v>7</v>
      </c>
      <c r="F48" t="s">
        <v>20</v>
      </c>
    </row>
    <row r="49" spans="1:6" x14ac:dyDescent="0.3">
      <c r="A49">
        <v>422142</v>
      </c>
      <c r="C49">
        <v>6</v>
      </c>
      <c r="D49" t="s">
        <v>9</v>
      </c>
      <c r="E49">
        <v>30</v>
      </c>
      <c r="F49" t="s">
        <v>21</v>
      </c>
    </row>
    <row r="50" spans="1:6" x14ac:dyDescent="0.3">
      <c r="A50">
        <v>422143</v>
      </c>
      <c r="C50">
        <v>6</v>
      </c>
      <c r="D50" t="s">
        <v>9</v>
      </c>
      <c r="E50">
        <v>40</v>
      </c>
      <c r="F50" t="s">
        <v>21</v>
      </c>
    </row>
    <row r="51" spans="1:6" x14ac:dyDescent="0.3">
      <c r="A51">
        <v>422143</v>
      </c>
      <c r="C51">
        <v>7</v>
      </c>
      <c r="D51" t="s">
        <v>12</v>
      </c>
      <c r="E51">
        <v>18</v>
      </c>
      <c r="F51" t="s">
        <v>20</v>
      </c>
    </row>
    <row r="52" spans="1:6" x14ac:dyDescent="0.3">
      <c r="A52">
        <v>422144</v>
      </c>
      <c r="C52">
        <v>6</v>
      </c>
      <c r="D52" t="s">
        <v>9</v>
      </c>
      <c r="E52">
        <v>30</v>
      </c>
      <c r="F52" t="s">
        <v>21</v>
      </c>
    </row>
    <row r="53" spans="1:6" x14ac:dyDescent="0.3">
      <c r="A53">
        <v>422144</v>
      </c>
      <c r="C53">
        <v>8</v>
      </c>
      <c r="D53" t="s">
        <v>13</v>
      </c>
      <c r="E53">
        <v>24</v>
      </c>
      <c r="F53" t="s">
        <v>21</v>
      </c>
    </row>
    <row r="54" spans="1:6" x14ac:dyDescent="0.3">
      <c r="A54">
        <v>422145</v>
      </c>
      <c r="C54">
        <v>3</v>
      </c>
      <c r="D54" t="s">
        <v>19</v>
      </c>
      <c r="E54">
        <v>22</v>
      </c>
      <c r="F54" t="s">
        <v>20</v>
      </c>
    </row>
    <row r="55" spans="1:6" x14ac:dyDescent="0.3">
      <c r="A55">
        <v>422146</v>
      </c>
      <c r="C55">
        <v>6</v>
      </c>
      <c r="D55" t="s">
        <v>9</v>
      </c>
      <c r="E55">
        <v>30</v>
      </c>
      <c r="F55" t="s">
        <v>21</v>
      </c>
    </row>
    <row r="56" spans="1:6" x14ac:dyDescent="0.3">
      <c r="A56">
        <v>422146</v>
      </c>
      <c r="C56">
        <v>7</v>
      </c>
      <c r="D56" t="s">
        <v>12</v>
      </c>
      <c r="E56">
        <v>25</v>
      </c>
      <c r="F56" t="s">
        <v>20</v>
      </c>
    </row>
    <row r="57" spans="1:6" x14ac:dyDescent="0.3">
      <c r="A57">
        <v>422146</v>
      </c>
      <c r="C57">
        <v>12</v>
      </c>
      <c r="D57" t="s">
        <v>16</v>
      </c>
      <c r="E57">
        <v>7</v>
      </c>
      <c r="F57" t="s">
        <v>20</v>
      </c>
    </row>
    <row r="58" spans="1:6" x14ac:dyDescent="0.3">
      <c r="A58">
        <v>422147</v>
      </c>
      <c r="C58">
        <v>4</v>
      </c>
      <c r="D58" t="s">
        <v>14</v>
      </c>
      <c r="E58">
        <v>17</v>
      </c>
      <c r="F58" t="s">
        <v>20</v>
      </c>
    </row>
    <row r="59" spans="1:6" x14ac:dyDescent="0.3">
      <c r="A59">
        <v>422147</v>
      </c>
      <c r="C59">
        <v>6</v>
      </c>
      <c r="D59" t="s">
        <v>9</v>
      </c>
      <c r="E59">
        <v>60</v>
      </c>
      <c r="F59" t="s">
        <v>21</v>
      </c>
    </row>
    <row r="60" spans="1:6" x14ac:dyDescent="0.3">
      <c r="A60">
        <v>422147</v>
      </c>
      <c r="C60">
        <v>7</v>
      </c>
      <c r="D60" t="s">
        <v>12</v>
      </c>
      <c r="E60">
        <v>30</v>
      </c>
      <c r="F60" t="s">
        <v>20</v>
      </c>
    </row>
    <row r="61" spans="1:6" x14ac:dyDescent="0.3">
      <c r="A61">
        <v>422148</v>
      </c>
      <c r="C61">
        <v>4</v>
      </c>
      <c r="D61" t="s">
        <v>14</v>
      </c>
      <c r="E61">
        <v>25</v>
      </c>
      <c r="F61" t="s">
        <v>20</v>
      </c>
    </row>
    <row r="62" spans="1:6" x14ac:dyDescent="0.3">
      <c r="A62">
        <v>422148</v>
      </c>
      <c r="C62">
        <v>8</v>
      </c>
      <c r="D62" t="s">
        <v>13</v>
      </c>
      <c r="E62">
        <v>7</v>
      </c>
      <c r="F62" t="s">
        <v>21</v>
      </c>
    </row>
  </sheetData>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932AD-F079-43ED-BA4A-9BE79911B6E3}">
  <dimension ref="A1:C13"/>
  <sheetViews>
    <sheetView workbookViewId="0">
      <selection activeCell="B8" sqref="B8"/>
    </sheetView>
  </sheetViews>
  <sheetFormatPr defaultRowHeight="14.4" x14ac:dyDescent="0.3"/>
  <cols>
    <col min="1" max="1" width="8.5546875" bestFit="1" customWidth="1"/>
    <col min="2" max="2" width="17.44140625" bestFit="1" customWidth="1"/>
    <col min="3" max="3" width="15" bestFit="1" customWidth="1"/>
  </cols>
  <sheetData>
    <row r="1" spans="1:3" x14ac:dyDescent="0.3">
      <c r="A1" t="s">
        <v>6</v>
      </c>
      <c r="B1" t="s">
        <v>22</v>
      </c>
      <c r="C1" t="s">
        <v>7</v>
      </c>
    </row>
    <row r="2" spans="1:3" x14ac:dyDescent="0.3">
      <c r="A2">
        <v>1</v>
      </c>
      <c r="B2" t="s">
        <v>17</v>
      </c>
      <c r="C2" t="s">
        <v>20</v>
      </c>
    </row>
    <row r="3" spans="1:3" x14ac:dyDescent="0.3">
      <c r="A3">
        <v>2</v>
      </c>
      <c r="B3" t="s">
        <v>8</v>
      </c>
      <c r="C3" t="s">
        <v>21</v>
      </c>
    </row>
    <row r="4" spans="1:3" x14ac:dyDescent="0.3">
      <c r="A4">
        <v>3</v>
      </c>
      <c r="B4" t="s">
        <v>19</v>
      </c>
      <c r="C4" t="s">
        <v>20</v>
      </c>
    </row>
    <row r="5" spans="1:3" x14ac:dyDescent="0.3">
      <c r="A5">
        <v>4</v>
      </c>
      <c r="B5" t="s">
        <v>14</v>
      </c>
      <c r="C5" t="s">
        <v>20</v>
      </c>
    </row>
    <row r="6" spans="1:3" x14ac:dyDescent="0.3">
      <c r="A6">
        <v>5</v>
      </c>
      <c r="B6" t="s">
        <v>10</v>
      </c>
      <c r="C6" t="s">
        <v>21</v>
      </c>
    </row>
    <row r="7" spans="1:3" x14ac:dyDescent="0.3">
      <c r="A7">
        <v>6</v>
      </c>
      <c r="B7" t="s">
        <v>9</v>
      </c>
      <c r="C7" t="s">
        <v>21</v>
      </c>
    </row>
    <row r="8" spans="1:3" x14ac:dyDescent="0.3">
      <c r="A8">
        <v>7</v>
      </c>
      <c r="B8" t="s">
        <v>12</v>
      </c>
      <c r="C8" t="s">
        <v>20</v>
      </c>
    </row>
    <row r="9" spans="1:3" x14ac:dyDescent="0.3">
      <c r="A9">
        <v>8</v>
      </c>
      <c r="B9" t="s">
        <v>13</v>
      </c>
      <c r="C9" t="s">
        <v>21</v>
      </c>
    </row>
    <row r="10" spans="1:3" x14ac:dyDescent="0.3">
      <c r="A10">
        <v>9</v>
      </c>
      <c r="B10" t="s">
        <v>15</v>
      </c>
      <c r="C10" t="s">
        <v>20</v>
      </c>
    </row>
    <row r="11" spans="1:3" x14ac:dyDescent="0.3">
      <c r="A11">
        <v>10</v>
      </c>
      <c r="B11" t="s">
        <v>18</v>
      </c>
      <c r="C11" t="s">
        <v>21</v>
      </c>
    </row>
    <row r="12" spans="1:3" x14ac:dyDescent="0.3">
      <c r="A12">
        <v>11</v>
      </c>
      <c r="B12" t="s">
        <v>11</v>
      </c>
      <c r="C12" t="s">
        <v>21</v>
      </c>
    </row>
    <row r="13" spans="1:3" x14ac:dyDescent="0.3">
      <c r="A13">
        <v>12</v>
      </c>
      <c r="B13" t="s">
        <v>16</v>
      </c>
      <c r="C13" t="s">
        <v>20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047CD-7F9B-4477-942F-7277DFA5344E}">
  <dimension ref="A1:D7"/>
  <sheetViews>
    <sheetView workbookViewId="0"/>
  </sheetViews>
  <sheetFormatPr defaultRowHeight="14.4" x14ac:dyDescent="0.3"/>
  <cols>
    <col min="1" max="1" width="9.77734375" bestFit="1" customWidth="1"/>
    <col min="2" max="2" width="10.21875" bestFit="1" customWidth="1"/>
    <col min="3" max="3" width="6.77734375" bestFit="1" customWidth="1"/>
    <col min="4" max="4" width="15.6640625" bestFit="1" customWidth="1"/>
  </cols>
  <sheetData>
    <row r="1" spans="1:4" x14ac:dyDescent="0.3">
      <c r="A1" t="s">
        <v>1</v>
      </c>
      <c r="B1" t="s">
        <v>30</v>
      </c>
      <c r="C1" t="s">
        <v>31</v>
      </c>
      <c r="D1" t="s">
        <v>39</v>
      </c>
    </row>
    <row r="2" spans="1:4" x14ac:dyDescent="0.3">
      <c r="A2" t="s">
        <v>24</v>
      </c>
      <c r="B2" t="s">
        <v>32</v>
      </c>
      <c r="C2" t="s">
        <v>38</v>
      </c>
      <c r="D2">
        <v>60</v>
      </c>
    </row>
    <row r="3" spans="1:4" x14ac:dyDescent="0.3">
      <c r="A3" t="s">
        <v>25</v>
      </c>
      <c r="B3" t="s">
        <v>33</v>
      </c>
      <c r="C3" t="s">
        <v>38</v>
      </c>
      <c r="D3">
        <v>60</v>
      </c>
    </row>
    <row r="4" spans="1:4" x14ac:dyDescent="0.3">
      <c r="A4" t="s">
        <v>26</v>
      </c>
      <c r="B4" t="s">
        <v>34</v>
      </c>
      <c r="C4" t="s">
        <v>38</v>
      </c>
      <c r="D4">
        <v>60</v>
      </c>
    </row>
    <row r="5" spans="1:4" x14ac:dyDescent="0.3">
      <c r="A5" t="s">
        <v>27</v>
      </c>
      <c r="B5" t="s">
        <v>35</v>
      </c>
      <c r="C5" t="s">
        <v>38</v>
      </c>
      <c r="D5">
        <v>60</v>
      </c>
    </row>
    <row r="6" spans="1:4" x14ac:dyDescent="0.3">
      <c r="A6" t="s">
        <v>28</v>
      </c>
      <c r="B6" t="s">
        <v>36</v>
      </c>
      <c r="C6" t="s">
        <v>38</v>
      </c>
      <c r="D6">
        <v>60</v>
      </c>
    </row>
    <row r="7" spans="1:4" x14ac:dyDescent="0.3">
      <c r="A7" t="s">
        <v>29</v>
      </c>
      <c r="B7" t="s">
        <v>34</v>
      </c>
      <c r="C7" t="s">
        <v>37</v>
      </c>
      <c r="D7">
        <v>98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62F3-8C54-4C2B-8E48-722D67F8C002}">
  <sheetPr>
    <tabColor rgb="FFFFFF00"/>
  </sheetPr>
  <dimension ref="A1:I39"/>
  <sheetViews>
    <sheetView workbookViewId="0">
      <selection activeCell="D2" sqref="D2"/>
    </sheetView>
  </sheetViews>
  <sheetFormatPr defaultRowHeight="14.4" x14ac:dyDescent="0.3"/>
  <cols>
    <col min="1" max="1" width="10.44140625" bestFit="1" customWidth="1"/>
    <col min="2" max="2" width="9.5546875" bestFit="1" customWidth="1"/>
    <col min="3" max="3" width="8.88671875" customWidth="1"/>
    <col min="4" max="4" width="10.33203125" customWidth="1"/>
    <col min="5" max="5" width="11.44140625" customWidth="1"/>
    <col min="6" max="6" width="10.44140625" customWidth="1"/>
    <col min="7" max="7" width="10.33203125" bestFit="1" customWidth="1"/>
    <col min="8" max="8" width="13.44140625" bestFit="1" customWidth="1"/>
    <col min="9" max="11" width="8.88671875" customWidth="1"/>
    <col min="13" max="13" width="8.88671875" customWidth="1"/>
  </cols>
  <sheetData>
    <row r="1" spans="1:9" x14ac:dyDescent="0.3">
      <c r="A1" s="2" t="s">
        <v>0</v>
      </c>
      <c r="B1" s="2" t="s">
        <v>1</v>
      </c>
      <c r="C1" s="2" t="s">
        <v>2</v>
      </c>
      <c r="D1" s="2" t="s">
        <v>3</v>
      </c>
      <c r="E1" s="2" t="s">
        <v>4</v>
      </c>
      <c r="F1" s="2" t="s">
        <v>5</v>
      </c>
      <c r="G1" s="6"/>
      <c r="H1" s="6"/>
      <c r="I1" s="6"/>
    </row>
    <row r="2" spans="1:9" x14ac:dyDescent="0.3">
      <c r="A2" s="1">
        <v>45533</v>
      </c>
      <c r="B2" t="s">
        <v>24</v>
      </c>
      <c r="C2">
        <v>422111</v>
      </c>
      <c r="D2" t="s">
        <v>43</v>
      </c>
      <c r="E2" s="3">
        <v>0.49305555555555558</v>
      </c>
      <c r="F2" s="3">
        <v>0.58680555555555558</v>
      </c>
    </row>
    <row r="3" spans="1:9" x14ac:dyDescent="0.3">
      <c r="A3" s="1">
        <v>45533</v>
      </c>
      <c r="B3" t="s">
        <v>25</v>
      </c>
      <c r="C3">
        <v>422112</v>
      </c>
      <c r="D3" t="s">
        <v>43</v>
      </c>
      <c r="E3" s="3">
        <v>0.58680555555555558</v>
      </c>
      <c r="F3" s="3">
        <v>0.65625</v>
      </c>
    </row>
    <row r="4" spans="1:9" x14ac:dyDescent="0.3">
      <c r="A4" s="1">
        <v>45533</v>
      </c>
      <c r="B4" t="s">
        <v>25</v>
      </c>
      <c r="C4">
        <v>422113</v>
      </c>
      <c r="D4" t="s">
        <v>43</v>
      </c>
      <c r="E4" s="3">
        <v>0.65625</v>
      </c>
      <c r="F4" s="3">
        <v>0.73263888888888884</v>
      </c>
    </row>
    <row r="5" spans="1:9" x14ac:dyDescent="0.3">
      <c r="A5" s="1">
        <v>45533</v>
      </c>
      <c r="B5" t="s">
        <v>25</v>
      </c>
      <c r="C5">
        <v>422114</v>
      </c>
      <c r="D5" t="s">
        <v>43</v>
      </c>
      <c r="E5" s="3">
        <v>0.73263888888888884</v>
      </c>
      <c r="F5" s="3">
        <v>0.80208333333333326</v>
      </c>
    </row>
    <row r="6" spans="1:9" x14ac:dyDescent="0.3">
      <c r="A6" s="1">
        <v>45533</v>
      </c>
      <c r="B6" t="s">
        <v>25</v>
      </c>
      <c r="C6">
        <v>422115</v>
      </c>
      <c r="D6" t="s">
        <v>40</v>
      </c>
      <c r="E6" s="3">
        <v>0.80208333333333326</v>
      </c>
      <c r="F6" s="3">
        <v>0.86041666666666661</v>
      </c>
    </row>
    <row r="7" spans="1:9" x14ac:dyDescent="0.3">
      <c r="A7" s="1">
        <v>45533</v>
      </c>
      <c r="B7" t="s">
        <v>25</v>
      </c>
      <c r="C7">
        <v>422116</v>
      </c>
      <c r="D7" t="s">
        <v>40</v>
      </c>
      <c r="E7" s="3">
        <v>0.86041666666666661</v>
      </c>
      <c r="F7" s="3">
        <v>0.90208333333333324</v>
      </c>
    </row>
    <row r="8" spans="1:9" x14ac:dyDescent="0.3">
      <c r="A8" s="1">
        <v>45533</v>
      </c>
      <c r="B8" t="s">
        <v>25</v>
      </c>
      <c r="C8">
        <v>422117</v>
      </c>
      <c r="D8" t="s">
        <v>40</v>
      </c>
      <c r="E8" s="3">
        <v>0.90208333333333324</v>
      </c>
      <c r="F8" s="3">
        <v>0.95416666666666661</v>
      </c>
    </row>
    <row r="9" spans="1:9" x14ac:dyDescent="0.3">
      <c r="A9" s="1">
        <v>45534</v>
      </c>
      <c r="B9" t="s">
        <v>26</v>
      </c>
      <c r="C9">
        <v>422118</v>
      </c>
      <c r="D9" t="s">
        <v>41</v>
      </c>
      <c r="E9" s="3">
        <v>0.1701388888888889</v>
      </c>
      <c r="F9" s="3">
        <v>0.25347222222222221</v>
      </c>
    </row>
    <row r="10" spans="1:9" x14ac:dyDescent="0.3">
      <c r="A10" s="1">
        <v>45534</v>
      </c>
      <c r="B10" t="s">
        <v>26</v>
      </c>
      <c r="C10">
        <v>422119</v>
      </c>
      <c r="D10" t="s">
        <v>41</v>
      </c>
      <c r="E10" s="3">
        <v>0.25347222222222221</v>
      </c>
      <c r="F10" s="3">
        <v>0.3125</v>
      </c>
    </row>
    <row r="11" spans="1:9" x14ac:dyDescent="0.3">
      <c r="A11" s="1">
        <v>45534</v>
      </c>
      <c r="B11" t="s">
        <v>26</v>
      </c>
      <c r="C11">
        <v>422120</v>
      </c>
      <c r="D11" t="s">
        <v>41</v>
      </c>
      <c r="E11" s="3">
        <v>0.3125</v>
      </c>
      <c r="F11" s="3">
        <v>0.39027777777777778</v>
      </c>
    </row>
    <row r="12" spans="1:9" x14ac:dyDescent="0.3">
      <c r="A12" s="1">
        <v>45534</v>
      </c>
      <c r="B12" t="s">
        <v>26</v>
      </c>
      <c r="C12">
        <v>422121</v>
      </c>
      <c r="D12" t="s">
        <v>42</v>
      </c>
      <c r="E12" s="3">
        <v>0.39027777777777778</v>
      </c>
      <c r="F12" s="3">
        <v>0.44236111111111109</v>
      </c>
    </row>
    <row r="13" spans="1:9" x14ac:dyDescent="0.3">
      <c r="A13" s="1">
        <v>45534</v>
      </c>
      <c r="B13" t="s">
        <v>26</v>
      </c>
      <c r="C13">
        <v>422122</v>
      </c>
      <c r="D13" t="s">
        <v>42</v>
      </c>
      <c r="E13" s="3">
        <v>0.44236111111111109</v>
      </c>
      <c r="F13" s="3">
        <v>0.50138888888888888</v>
      </c>
    </row>
    <row r="14" spans="1:9" x14ac:dyDescent="0.3">
      <c r="A14" s="1">
        <v>45534</v>
      </c>
      <c r="B14" t="s">
        <v>26</v>
      </c>
      <c r="C14">
        <v>422123</v>
      </c>
      <c r="D14" t="s">
        <v>42</v>
      </c>
      <c r="E14" s="3">
        <v>0.50138888888888888</v>
      </c>
      <c r="F14" s="3">
        <v>0.59375</v>
      </c>
    </row>
    <row r="15" spans="1:9" x14ac:dyDescent="0.3">
      <c r="A15" s="1">
        <v>45534</v>
      </c>
      <c r="B15" t="s">
        <v>26</v>
      </c>
      <c r="C15">
        <v>422124</v>
      </c>
      <c r="D15" t="s">
        <v>42</v>
      </c>
      <c r="E15" s="3">
        <v>0.59375</v>
      </c>
      <c r="F15" s="3">
        <v>0.66319444444444442</v>
      </c>
    </row>
    <row r="16" spans="1:9" x14ac:dyDescent="0.3">
      <c r="A16" s="1">
        <v>45534</v>
      </c>
      <c r="B16" t="s">
        <v>26</v>
      </c>
      <c r="C16">
        <v>422125</v>
      </c>
      <c r="D16" t="s">
        <v>40</v>
      </c>
      <c r="E16" s="3">
        <v>0.66319444444444442</v>
      </c>
      <c r="F16" s="3">
        <v>0.71875</v>
      </c>
    </row>
    <row r="17" spans="1:6" x14ac:dyDescent="0.3">
      <c r="A17" s="1">
        <v>45534</v>
      </c>
      <c r="B17" t="s">
        <v>26</v>
      </c>
      <c r="C17">
        <v>422126</v>
      </c>
      <c r="D17" t="s">
        <v>40</v>
      </c>
      <c r="E17" s="3">
        <v>0.71875</v>
      </c>
      <c r="F17" s="3">
        <v>0.79097222222222219</v>
      </c>
    </row>
    <row r="18" spans="1:6" x14ac:dyDescent="0.3">
      <c r="A18" s="1">
        <v>45534</v>
      </c>
      <c r="B18" t="s">
        <v>26</v>
      </c>
      <c r="C18">
        <v>422127</v>
      </c>
      <c r="D18" t="s">
        <v>40</v>
      </c>
      <c r="E18" s="3">
        <v>0.79097222222222219</v>
      </c>
      <c r="F18" s="3">
        <v>0.84861111111111109</v>
      </c>
    </row>
    <row r="19" spans="1:6" x14ac:dyDescent="0.3">
      <c r="A19" s="1">
        <v>45534</v>
      </c>
      <c r="B19" t="s">
        <v>26</v>
      </c>
      <c r="C19">
        <v>422128</v>
      </c>
      <c r="D19" t="s">
        <v>40</v>
      </c>
      <c r="E19" s="3">
        <v>0.84861111111111109</v>
      </c>
      <c r="F19" s="3">
        <v>0.92638888888888893</v>
      </c>
    </row>
    <row r="20" spans="1:6" x14ac:dyDescent="0.3">
      <c r="A20" s="1">
        <v>45534</v>
      </c>
      <c r="B20" t="s">
        <v>26</v>
      </c>
      <c r="C20">
        <v>422129</v>
      </c>
      <c r="D20" t="s">
        <v>40</v>
      </c>
      <c r="E20" s="3">
        <v>0.92638888888888893</v>
      </c>
      <c r="F20" s="3">
        <v>0.97847222222222219</v>
      </c>
    </row>
    <row r="21" spans="1:6" x14ac:dyDescent="0.3">
      <c r="A21" s="1">
        <v>45535</v>
      </c>
      <c r="B21" t="s">
        <v>26</v>
      </c>
      <c r="C21">
        <v>422130</v>
      </c>
      <c r="D21" t="s">
        <v>41</v>
      </c>
      <c r="E21" s="3">
        <v>0.32291666666666669</v>
      </c>
      <c r="F21" s="3">
        <v>0.37847222222222221</v>
      </c>
    </row>
    <row r="22" spans="1:6" x14ac:dyDescent="0.3">
      <c r="A22" s="1">
        <v>45535</v>
      </c>
      <c r="B22" t="s">
        <v>26</v>
      </c>
      <c r="C22">
        <v>422131</v>
      </c>
      <c r="D22" t="s">
        <v>41</v>
      </c>
      <c r="E22" s="3">
        <v>0.37847222222222221</v>
      </c>
      <c r="F22" s="3">
        <v>0.44097222222222221</v>
      </c>
    </row>
    <row r="23" spans="1:6" x14ac:dyDescent="0.3">
      <c r="A23" s="1">
        <v>45535</v>
      </c>
      <c r="B23" t="s">
        <v>26</v>
      </c>
      <c r="C23">
        <v>422132</v>
      </c>
      <c r="D23" t="s">
        <v>41</v>
      </c>
      <c r="E23" s="3">
        <v>0.44097222222222221</v>
      </c>
      <c r="F23" s="3">
        <v>0.4826388888888889</v>
      </c>
    </row>
    <row r="24" spans="1:6" x14ac:dyDescent="0.3">
      <c r="A24" s="1">
        <v>45535</v>
      </c>
      <c r="B24" t="s">
        <v>27</v>
      </c>
      <c r="C24">
        <v>422133</v>
      </c>
      <c r="D24" t="s">
        <v>41</v>
      </c>
      <c r="E24" s="3">
        <v>0.4826388888888889</v>
      </c>
      <c r="F24" s="3">
        <v>0.53819444444444442</v>
      </c>
    </row>
    <row r="25" spans="1:6" x14ac:dyDescent="0.3">
      <c r="A25" s="1">
        <v>45535</v>
      </c>
      <c r="B25" t="s">
        <v>27</v>
      </c>
      <c r="C25">
        <v>422134</v>
      </c>
      <c r="D25" t="s">
        <v>43</v>
      </c>
      <c r="E25" s="3">
        <v>0.53819444444444442</v>
      </c>
      <c r="F25" s="3">
        <v>0.61458333333333337</v>
      </c>
    </row>
    <row r="26" spans="1:6" x14ac:dyDescent="0.3">
      <c r="A26" s="1">
        <v>45535</v>
      </c>
      <c r="B26" t="s">
        <v>27</v>
      </c>
      <c r="C26">
        <v>422135</v>
      </c>
      <c r="D26" t="s">
        <v>43</v>
      </c>
      <c r="E26" s="3">
        <v>0.61458333333333337</v>
      </c>
      <c r="F26" s="3">
        <v>0.6875</v>
      </c>
    </row>
    <row r="27" spans="1:6" x14ac:dyDescent="0.3">
      <c r="A27" s="1">
        <v>45535</v>
      </c>
      <c r="B27" t="s">
        <v>27</v>
      </c>
      <c r="C27">
        <v>422136</v>
      </c>
      <c r="D27" t="s">
        <v>43</v>
      </c>
      <c r="E27" s="3">
        <v>0.6875</v>
      </c>
      <c r="F27" s="3">
        <v>0.72916666666666663</v>
      </c>
    </row>
    <row r="28" spans="1:6" x14ac:dyDescent="0.3">
      <c r="A28" s="1">
        <v>45537</v>
      </c>
      <c r="B28" t="s">
        <v>28</v>
      </c>
      <c r="C28">
        <v>422137</v>
      </c>
      <c r="D28" t="s">
        <v>41</v>
      </c>
      <c r="E28" s="3">
        <v>4.1666666666666664E-2</v>
      </c>
      <c r="F28" s="3">
        <v>0.11458333333333333</v>
      </c>
    </row>
    <row r="29" spans="1:6" x14ac:dyDescent="0.3">
      <c r="A29" s="1">
        <v>45537</v>
      </c>
      <c r="B29" t="s">
        <v>28</v>
      </c>
      <c r="C29">
        <v>422138</v>
      </c>
      <c r="D29" t="s">
        <v>41</v>
      </c>
      <c r="E29" s="3">
        <v>0.11458333333333333</v>
      </c>
      <c r="F29" s="3">
        <v>0.1701388888888889</v>
      </c>
    </row>
    <row r="30" spans="1:6" x14ac:dyDescent="0.3">
      <c r="A30" s="1">
        <v>45537</v>
      </c>
      <c r="B30" t="s">
        <v>28</v>
      </c>
      <c r="C30">
        <v>422139</v>
      </c>
      <c r="D30" t="s">
        <v>41</v>
      </c>
      <c r="E30" s="3">
        <v>0.1701388888888889</v>
      </c>
      <c r="F30" s="3">
        <v>0.2361111111111111</v>
      </c>
    </row>
    <row r="31" spans="1:6" x14ac:dyDescent="0.3">
      <c r="A31" s="1">
        <v>45537</v>
      </c>
      <c r="B31" t="s">
        <v>28</v>
      </c>
      <c r="C31">
        <v>422140</v>
      </c>
      <c r="D31" t="s">
        <v>41</v>
      </c>
      <c r="E31" s="3">
        <v>0.2361111111111111</v>
      </c>
      <c r="F31" s="3">
        <v>0.3215277777777778</v>
      </c>
    </row>
    <row r="32" spans="1:6" x14ac:dyDescent="0.3">
      <c r="A32" s="1">
        <v>45537</v>
      </c>
      <c r="B32" t="s">
        <v>28</v>
      </c>
      <c r="C32">
        <v>422141</v>
      </c>
      <c r="D32" t="s">
        <v>42</v>
      </c>
      <c r="E32" s="3">
        <v>0.3215277777777778</v>
      </c>
      <c r="F32" s="3">
        <v>0.36805555555555558</v>
      </c>
    </row>
    <row r="33" spans="1:6" x14ac:dyDescent="0.3">
      <c r="A33" s="1">
        <v>45537</v>
      </c>
      <c r="B33" t="s">
        <v>28</v>
      </c>
      <c r="C33">
        <v>422142</v>
      </c>
      <c r="D33" t="s">
        <v>42</v>
      </c>
      <c r="E33" s="3">
        <v>0.36805555555555558</v>
      </c>
      <c r="F33" s="3">
        <v>0.43055555555555558</v>
      </c>
    </row>
    <row r="34" spans="1:6" x14ac:dyDescent="0.3">
      <c r="A34" s="1">
        <v>45537</v>
      </c>
      <c r="B34" t="s">
        <v>28</v>
      </c>
      <c r="C34">
        <v>422143</v>
      </c>
      <c r="D34" t="s">
        <v>42</v>
      </c>
      <c r="E34" s="3">
        <v>0.43055555555555558</v>
      </c>
      <c r="F34" s="3">
        <v>0.51249999999999996</v>
      </c>
    </row>
    <row r="35" spans="1:6" x14ac:dyDescent="0.3">
      <c r="A35" s="1">
        <v>45537</v>
      </c>
      <c r="B35" t="s">
        <v>29</v>
      </c>
      <c r="C35">
        <v>422144</v>
      </c>
      <c r="D35" t="s">
        <v>42</v>
      </c>
      <c r="E35" s="3">
        <v>0.51249999999999996</v>
      </c>
      <c r="F35" s="3">
        <v>0.61805555555555558</v>
      </c>
    </row>
    <row r="36" spans="1:6" x14ac:dyDescent="0.3">
      <c r="A36" s="1">
        <v>45537</v>
      </c>
      <c r="B36" t="s">
        <v>29</v>
      </c>
      <c r="C36">
        <v>422145</v>
      </c>
      <c r="D36" t="s">
        <v>40</v>
      </c>
      <c r="E36" s="3">
        <v>0.61805555555555558</v>
      </c>
      <c r="F36" s="3">
        <v>0.70138888888888895</v>
      </c>
    </row>
    <row r="37" spans="1:6" x14ac:dyDescent="0.3">
      <c r="A37" s="1">
        <v>45537</v>
      </c>
      <c r="B37" t="s">
        <v>29</v>
      </c>
      <c r="C37">
        <v>422146</v>
      </c>
      <c r="D37" t="s">
        <v>40</v>
      </c>
      <c r="E37" s="3">
        <v>0.70138888888888895</v>
      </c>
      <c r="F37" s="3">
        <v>0.8125</v>
      </c>
    </row>
    <row r="38" spans="1:6" x14ac:dyDescent="0.3">
      <c r="A38" s="1">
        <v>45537</v>
      </c>
      <c r="B38" t="s">
        <v>29</v>
      </c>
      <c r="C38">
        <v>422147</v>
      </c>
      <c r="D38" t="s">
        <v>40</v>
      </c>
      <c r="E38" s="3">
        <v>0.8125</v>
      </c>
      <c r="F38" s="3">
        <v>0.95486111111111116</v>
      </c>
    </row>
    <row r="39" spans="1:6" x14ac:dyDescent="0.3">
      <c r="A39" s="1">
        <v>45538</v>
      </c>
      <c r="B39" t="s">
        <v>29</v>
      </c>
      <c r="C39">
        <v>422148</v>
      </c>
      <c r="D39" t="s">
        <v>43</v>
      </c>
      <c r="E39" s="3">
        <v>0.95486111111111116</v>
      </c>
      <c r="F39" s="3">
        <v>1.0451388888888888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03E6B-C648-491E-9E5D-F67501FDD632}">
  <sheetPr>
    <tabColor rgb="FFFFFF00"/>
  </sheetPr>
  <dimension ref="A1:M40"/>
  <sheetViews>
    <sheetView workbookViewId="0">
      <selection activeCell="Q21" sqref="Q21"/>
    </sheetView>
  </sheetViews>
  <sheetFormatPr defaultRowHeight="14.4" x14ac:dyDescent="0.3"/>
  <cols>
    <col min="1" max="1" width="8.88671875" customWidth="1"/>
    <col min="2" max="13" width="5.5546875" customWidth="1"/>
  </cols>
  <sheetData>
    <row r="1" spans="1:13" x14ac:dyDescent="0.3">
      <c r="B1" s="12" t="s">
        <v>23</v>
      </c>
      <c r="C1" s="12"/>
      <c r="D1" s="12"/>
      <c r="E1" s="12"/>
      <c r="F1" s="12"/>
      <c r="G1" s="12"/>
      <c r="H1" s="12"/>
      <c r="I1" s="12"/>
      <c r="J1" s="12"/>
      <c r="K1" s="12"/>
      <c r="L1" s="12"/>
      <c r="M1" s="12"/>
    </row>
    <row r="2" spans="1:13" x14ac:dyDescent="0.3">
      <c r="A2" s="2" t="s">
        <v>2</v>
      </c>
      <c r="B2" s="2">
        <v>1</v>
      </c>
      <c r="C2" s="2">
        <v>2</v>
      </c>
      <c r="D2" s="2">
        <v>3</v>
      </c>
      <c r="E2" s="2">
        <v>4</v>
      </c>
      <c r="F2" s="2">
        <v>5</v>
      </c>
      <c r="G2" s="2">
        <v>6</v>
      </c>
      <c r="H2" s="2">
        <v>7</v>
      </c>
      <c r="I2" s="2">
        <v>8</v>
      </c>
      <c r="J2" s="2">
        <v>9</v>
      </c>
      <c r="K2" s="2">
        <v>10</v>
      </c>
      <c r="L2" s="2">
        <v>11</v>
      </c>
      <c r="M2" s="2">
        <v>12</v>
      </c>
    </row>
    <row r="3" spans="1:13" x14ac:dyDescent="0.3">
      <c r="A3">
        <v>422111</v>
      </c>
      <c r="C3">
        <v>60</v>
      </c>
      <c r="H3">
        <v>15</v>
      </c>
    </row>
    <row r="4" spans="1:13" x14ac:dyDescent="0.3">
      <c r="A4">
        <v>422112</v>
      </c>
      <c r="C4">
        <v>20</v>
      </c>
      <c r="I4">
        <v>20</v>
      </c>
    </row>
    <row r="5" spans="1:13" x14ac:dyDescent="0.3">
      <c r="A5">
        <v>422113</v>
      </c>
      <c r="C5">
        <v>50</v>
      </c>
    </row>
    <row r="6" spans="1:13" x14ac:dyDescent="0.3">
      <c r="A6">
        <v>422114</v>
      </c>
      <c r="E6">
        <v>25</v>
      </c>
      <c r="G6">
        <v>15</v>
      </c>
    </row>
    <row r="7" spans="1:13" x14ac:dyDescent="0.3">
      <c r="A7">
        <v>422115</v>
      </c>
      <c r="K7">
        <v>24</v>
      </c>
    </row>
    <row r="8" spans="1:13" x14ac:dyDescent="0.3">
      <c r="A8">
        <v>422116</v>
      </c>
    </row>
    <row r="9" spans="1:13" x14ac:dyDescent="0.3">
      <c r="A9">
        <v>422117</v>
      </c>
      <c r="C9">
        <v>10</v>
      </c>
      <c r="G9">
        <v>5</v>
      </c>
    </row>
    <row r="10" spans="1:13" x14ac:dyDescent="0.3">
      <c r="A10">
        <v>422118</v>
      </c>
      <c r="G10">
        <v>14</v>
      </c>
      <c r="H10">
        <v>16</v>
      </c>
      <c r="L10">
        <v>10</v>
      </c>
      <c r="M10">
        <v>20</v>
      </c>
    </row>
    <row r="11" spans="1:13" x14ac:dyDescent="0.3">
      <c r="A11">
        <v>422119</v>
      </c>
      <c r="E11">
        <v>25</v>
      </c>
    </row>
    <row r="12" spans="1:13" x14ac:dyDescent="0.3">
      <c r="A12">
        <v>422120</v>
      </c>
      <c r="E12">
        <v>20</v>
      </c>
      <c r="F12">
        <v>15</v>
      </c>
      <c r="J12">
        <v>17</v>
      </c>
    </row>
    <row r="13" spans="1:13" x14ac:dyDescent="0.3">
      <c r="A13">
        <v>422121</v>
      </c>
      <c r="H13">
        <v>15</v>
      </c>
    </row>
    <row r="14" spans="1:13" x14ac:dyDescent="0.3">
      <c r="A14">
        <v>422122</v>
      </c>
      <c r="H14">
        <v>25</v>
      </c>
    </row>
    <row r="15" spans="1:13" x14ac:dyDescent="0.3">
      <c r="A15">
        <v>422123</v>
      </c>
      <c r="E15">
        <v>43</v>
      </c>
      <c r="H15">
        <v>30</v>
      </c>
    </row>
    <row r="16" spans="1:13" x14ac:dyDescent="0.3">
      <c r="A16">
        <v>422124</v>
      </c>
      <c r="F16">
        <v>20</v>
      </c>
      <c r="G16">
        <v>20</v>
      </c>
    </row>
    <row r="17" spans="1:13" x14ac:dyDescent="0.3">
      <c r="A17">
        <v>422125</v>
      </c>
      <c r="L17">
        <v>10</v>
      </c>
      <c r="M17">
        <v>10</v>
      </c>
    </row>
    <row r="18" spans="1:13" x14ac:dyDescent="0.3">
      <c r="A18">
        <v>422126</v>
      </c>
      <c r="I18">
        <v>44</v>
      </c>
    </row>
    <row r="19" spans="1:13" x14ac:dyDescent="0.3">
      <c r="A19">
        <v>422127</v>
      </c>
      <c r="G19">
        <v>23</v>
      </c>
    </row>
    <row r="20" spans="1:13" x14ac:dyDescent="0.3">
      <c r="A20">
        <v>422128</v>
      </c>
      <c r="F20">
        <v>22</v>
      </c>
      <c r="H20">
        <v>30</v>
      </c>
    </row>
    <row r="21" spans="1:13" x14ac:dyDescent="0.3">
      <c r="A21">
        <v>422129</v>
      </c>
      <c r="M21">
        <v>15</v>
      </c>
    </row>
    <row r="22" spans="1:13" x14ac:dyDescent="0.3">
      <c r="A22">
        <v>422130</v>
      </c>
      <c r="C22">
        <v>20</v>
      </c>
    </row>
    <row r="23" spans="1:13" x14ac:dyDescent="0.3">
      <c r="A23">
        <v>422131</v>
      </c>
      <c r="E23">
        <v>20</v>
      </c>
      <c r="K23">
        <v>10</v>
      </c>
    </row>
    <row r="24" spans="1:13" x14ac:dyDescent="0.3">
      <c r="A24">
        <v>422132</v>
      </c>
    </row>
    <row r="25" spans="1:13" x14ac:dyDescent="0.3">
      <c r="A25">
        <v>422133</v>
      </c>
      <c r="H25">
        <v>20</v>
      </c>
    </row>
    <row r="26" spans="1:13" x14ac:dyDescent="0.3">
      <c r="A26">
        <v>422134</v>
      </c>
      <c r="H26">
        <v>30</v>
      </c>
      <c r="I26">
        <v>20</v>
      </c>
    </row>
    <row r="27" spans="1:13" x14ac:dyDescent="0.3">
      <c r="A27">
        <v>422135</v>
      </c>
      <c r="E27">
        <v>30</v>
      </c>
      <c r="M27">
        <v>15</v>
      </c>
    </row>
    <row r="28" spans="1:13" x14ac:dyDescent="0.3">
      <c r="A28">
        <v>422136</v>
      </c>
    </row>
    <row r="29" spans="1:13" x14ac:dyDescent="0.3">
      <c r="A29">
        <v>422137</v>
      </c>
      <c r="I29">
        <v>30</v>
      </c>
      <c r="K29">
        <v>15</v>
      </c>
    </row>
    <row r="30" spans="1:13" x14ac:dyDescent="0.3">
      <c r="A30">
        <v>422138</v>
      </c>
      <c r="D30">
        <v>20</v>
      </c>
    </row>
    <row r="31" spans="1:13" x14ac:dyDescent="0.3">
      <c r="A31">
        <v>422139</v>
      </c>
      <c r="E31">
        <v>20</v>
      </c>
      <c r="G31">
        <v>15</v>
      </c>
    </row>
    <row r="32" spans="1:13" x14ac:dyDescent="0.3">
      <c r="A32">
        <v>422140</v>
      </c>
      <c r="G32">
        <v>50</v>
      </c>
      <c r="L32">
        <v>13</v>
      </c>
    </row>
    <row r="33" spans="1:13" x14ac:dyDescent="0.3">
      <c r="A33">
        <v>422141</v>
      </c>
      <c r="M33">
        <v>7</v>
      </c>
    </row>
    <row r="34" spans="1:13" x14ac:dyDescent="0.3">
      <c r="A34">
        <v>422142</v>
      </c>
      <c r="G34">
        <v>30</v>
      </c>
    </row>
    <row r="35" spans="1:13" x14ac:dyDescent="0.3">
      <c r="A35">
        <v>422143</v>
      </c>
      <c r="G35">
        <v>40</v>
      </c>
      <c r="H35">
        <v>18</v>
      </c>
    </row>
    <row r="36" spans="1:13" x14ac:dyDescent="0.3">
      <c r="A36">
        <v>422144</v>
      </c>
      <c r="G36">
        <v>30</v>
      </c>
      <c r="I36">
        <v>24</v>
      </c>
    </row>
    <row r="37" spans="1:13" x14ac:dyDescent="0.3">
      <c r="A37">
        <v>422145</v>
      </c>
      <c r="D37">
        <v>22</v>
      </c>
    </row>
    <row r="38" spans="1:13" x14ac:dyDescent="0.3">
      <c r="A38">
        <v>422146</v>
      </c>
      <c r="G38">
        <v>30</v>
      </c>
      <c r="H38">
        <v>25</v>
      </c>
      <c r="M38">
        <v>7</v>
      </c>
    </row>
    <row r="39" spans="1:13" x14ac:dyDescent="0.3">
      <c r="A39">
        <v>422147</v>
      </c>
      <c r="E39">
        <v>17</v>
      </c>
      <c r="G39">
        <v>60</v>
      </c>
      <c r="H39">
        <v>30</v>
      </c>
    </row>
    <row r="40" spans="1:13" x14ac:dyDescent="0.3">
      <c r="A40">
        <v>422148</v>
      </c>
      <c r="E40">
        <v>25</v>
      </c>
      <c r="I40">
        <v>7</v>
      </c>
    </row>
  </sheetData>
  <mergeCells count="1">
    <mergeCell ref="B1:M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156D-DBB5-4EA9-A733-8897AD1035D5}">
  <sheetPr>
    <tabColor rgb="FFFFFF00"/>
  </sheetPr>
  <dimension ref="A1:C13"/>
  <sheetViews>
    <sheetView workbookViewId="0">
      <selection activeCell="C28" sqref="C28"/>
    </sheetView>
  </sheetViews>
  <sheetFormatPr defaultRowHeight="14.4" x14ac:dyDescent="0.3"/>
  <cols>
    <col min="1" max="1" width="8.88671875" customWidth="1"/>
    <col min="2" max="2" width="19.33203125" bestFit="1" customWidth="1"/>
    <col min="3" max="3" width="14" bestFit="1" customWidth="1"/>
  </cols>
  <sheetData>
    <row r="1" spans="1:3" x14ac:dyDescent="0.3">
      <c r="A1" s="2" t="s">
        <v>6</v>
      </c>
      <c r="B1" s="2" t="s">
        <v>22</v>
      </c>
      <c r="C1" s="2" t="s">
        <v>7</v>
      </c>
    </row>
    <row r="2" spans="1:3" x14ac:dyDescent="0.3">
      <c r="A2">
        <v>1</v>
      </c>
      <c r="B2" t="s">
        <v>17</v>
      </c>
      <c r="C2" t="s">
        <v>20</v>
      </c>
    </row>
    <row r="3" spans="1:3" x14ac:dyDescent="0.3">
      <c r="A3">
        <v>2</v>
      </c>
      <c r="B3" t="s">
        <v>8</v>
      </c>
      <c r="C3" t="s">
        <v>21</v>
      </c>
    </row>
    <row r="4" spans="1:3" x14ac:dyDescent="0.3">
      <c r="A4">
        <v>3</v>
      </c>
      <c r="B4" t="s">
        <v>19</v>
      </c>
      <c r="C4" t="s">
        <v>20</v>
      </c>
    </row>
    <row r="5" spans="1:3" x14ac:dyDescent="0.3">
      <c r="A5">
        <v>4</v>
      </c>
      <c r="B5" t="s">
        <v>14</v>
      </c>
      <c r="C5" t="s">
        <v>20</v>
      </c>
    </row>
    <row r="6" spans="1:3" x14ac:dyDescent="0.3">
      <c r="A6">
        <v>5</v>
      </c>
      <c r="B6" t="s">
        <v>10</v>
      </c>
      <c r="C6" t="s">
        <v>21</v>
      </c>
    </row>
    <row r="7" spans="1:3" x14ac:dyDescent="0.3">
      <c r="A7">
        <v>6</v>
      </c>
      <c r="B7" t="s">
        <v>9</v>
      </c>
      <c r="C7" t="s">
        <v>21</v>
      </c>
    </row>
    <row r="8" spans="1:3" x14ac:dyDescent="0.3">
      <c r="A8">
        <v>7</v>
      </c>
      <c r="B8" t="s">
        <v>12</v>
      </c>
      <c r="C8" t="s">
        <v>20</v>
      </c>
    </row>
    <row r="9" spans="1:3" x14ac:dyDescent="0.3">
      <c r="A9">
        <v>8</v>
      </c>
      <c r="B9" t="s">
        <v>13</v>
      </c>
      <c r="C9" t="s">
        <v>21</v>
      </c>
    </row>
    <row r="10" spans="1:3" x14ac:dyDescent="0.3">
      <c r="A10">
        <v>9</v>
      </c>
      <c r="B10" t="s">
        <v>15</v>
      </c>
      <c r="C10" t="s">
        <v>20</v>
      </c>
    </row>
    <row r="11" spans="1:3" x14ac:dyDescent="0.3">
      <c r="A11">
        <v>10</v>
      </c>
      <c r="B11" t="s">
        <v>18</v>
      </c>
      <c r="C11" t="s">
        <v>21</v>
      </c>
    </row>
    <row r="12" spans="1:3" x14ac:dyDescent="0.3">
      <c r="A12">
        <v>11</v>
      </c>
      <c r="B12" t="s">
        <v>11</v>
      </c>
      <c r="C12" t="s">
        <v>21</v>
      </c>
    </row>
    <row r="13" spans="1:3" x14ac:dyDescent="0.3">
      <c r="A13">
        <v>12</v>
      </c>
      <c r="B13" t="s">
        <v>16</v>
      </c>
      <c r="C13" t="s">
        <v>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7A9A-369F-46C5-93C5-09FBB32FF7C0}">
  <sheetPr>
    <tabColor rgb="FFFFFF00"/>
  </sheetPr>
  <dimension ref="A1:D7"/>
  <sheetViews>
    <sheetView workbookViewId="0">
      <selection activeCell="E25" sqref="E25"/>
    </sheetView>
  </sheetViews>
  <sheetFormatPr defaultRowHeight="14.4" x14ac:dyDescent="0.3"/>
  <cols>
    <col min="2" max="2" width="11.109375" bestFit="1" customWidth="1"/>
    <col min="4" max="4" width="14.44140625" bestFit="1" customWidth="1"/>
  </cols>
  <sheetData>
    <row r="1" spans="1:4" x14ac:dyDescent="0.3">
      <c r="A1" s="2" t="s">
        <v>1</v>
      </c>
      <c r="B1" s="2" t="s">
        <v>30</v>
      </c>
      <c r="C1" s="2" t="s">
        <v>31</v>
      </c>
      <c r="D1" s="2" t="s">
        <v>39</v>
      </c>
    </row>
    <row r="2" spans="1:4" x14ac:dyDescent="0.3">
      <c r="A2" t="s">
        <v>24</v>
      </c>
      <c r="B2" t="s">
        <v>32</v>
      </c>
      <c r="C2" t="s">
        <v>38</v>
      </c>
      <c r="D2">
        <v>60</v>
      </c>
    </row>
    <row r="3" spans="1:4" x14ac:dyDescent="0.3">
      <c r="A3" t="s">
        <v>25</v>
      </c>
      <c r="B3" t="s">
        <v>33</v>
      </c>
      <c r="C3" t="s">
        <v>38</v>
      </c>
      <c r="D3">
        <v>60</v>
      </c>
    </row>
    <row r="4" spans="1:4" x14ac:dyDescent="0.3">
      <c r="A4" t="s">
        <v>26</v>
      </c>
      <c r="B4" t="s">
        <v>34</v>
      </c>
      <c r="C4" t="s">
        <v>38</v>
      </c>
      <c r="D4">
        <v>60</v>
      </c>
    </row>
    <row r="5" spans="1:4" x14ac:dyDescent="0.3">
      <c r="A5" t="s">
        <v>27</v>
      </c>
      <c r="B5" t="s">
        <v>35</v>
      </c>
      <c r="C5" t="s">
        <v>38</v>
      </c>
      <c r="D5">
        <v>60</v>
      </c>
    </row>
    <row r="6" spans="1:4" x14ac:dyDescent="0.3">
      <c r="A6" t="s">
        <v>28</v>
      </c>
      <c r="B6" t="s">
        <v>36</v>
      </c>
      <c r="C6" t="s">
        <v>38</v>
      </c>
      <c r="D6">
        <v>60</v>
      </c>
    </row>
    <row r="7" spans="1:4" x14ac:dyDescent="0.3">
      <c r="A7" t="s">
        <v>29</v>
      </c>
      <c r="B7" t="s">
        <v>34</v>
      </c>
      <c r="C7" t="s">
        <v>37</v>
      </c>
      <c r="D7">
        <v>98</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88CA6D-8B79-40F3-8158-AAA583B8A2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Overview</vt:lpstr>
      <vt:lpstr>DASHBOARD</vt:lpstr>
      <vt:lpstr>Operator Error_PV</vt:lpstr>
      <vt:lpstr>Operator Product PV</vt:lpstr>
      <vt:lpstr>Efficiency PV</vt:lpstr>
      <vt:lpstr>Downtime Error_PV</vt:lpstr>
      <vt:lpstr>Line productivity data</vt:lpstr>
      <vt:lpstr>Line downtime Data</vt:lpstr>
      <vt:lpstr>Downtime factors </vt:lpstr>
      <vt:lpstr>Products (2)</vt:lpstr>
      <vt:lpstr>Line productivity</vt:lpstr>
      <vt:lpstr>Line downtime</vt:lpstr>
      <vt:lpstr>Downtime factors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Ain H</cp:lastModifiedBy>
  <dcterms:created xsi:type="dcterms:W3CDTF">2024-08-19T19:52:48Z</dcterms:created>
  <dcterms:modified xsi:type="dcterms:W3CDTF">2026-09-30T08:59:26Z</dcterms:modified>
</cp:coreProperties>
</file>